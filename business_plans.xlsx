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mi — Projection" sheetId="1" state="visible" r:id="rId3"/>
    <sheet name="Funnel" sheetId="2" state="visible" r:id="rId4"/>
    <sheet name="Ami — Book Summary" sheetId="3" state="visible" r:id="rId5"/>
    <sheet name="Ami — SaaS Market" sheetId="4" state="visible" r:id="rId6"/>
    <sheet name="Ecommerce homework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<sst xmlns="http://schemas.openxmlformats.org/spreadsheetml/2006/main" count="395" uniqueCount="324">
  <si>
    <t xml:space="preserve">ASSUMPTIONS (edit yellow cells)</t>
  </si>
  <si>
    <t xml:space="preserve">Email list monthly churn</t>
  </si>
  <si>
    <t xml:space="preserve">unsubscribes / month</t>
  </si>
  <si>
    <t xml:space="preserve">Cohort price / seat</t>
  </si>
  <si>
    <t xml:space="preserve">$ — flagship 6-week cohort</t>
  </si>
  <si>
    <t xml:space="preserve">Cohort capacity (max seats / run)</t>
  </si>
  <si>
    <t xml:space="preserve">soft cap; informational only</t>
  </si>
  <si>
    <t xml:space="preserve">Paid challenge — standard ticket</t>
  </si>
  <si>
    <t xml:space="preserve">$ — 5-day pre-cohort GA</t>
  </si>
  <si>
    <t xml:space="preserve">Paid challenge — VIP ticket</t>
  </si>
  <si>
    <t xml:space="preserve">$ — 5-day VIP</t>
  </si>
  <si>
    <t xml:space="preserve">Challenge take-rate (% of email list)</t>
  </si>
  <si>
    <t xml:space="preserve">fraction of list buying a challenge ticket on launch</t>
  </si>
  <si>
    <t xml:space="preserve">Challenge VIP share</t>
  </si>
  <si>
    <t xml:space="preserve">fraction of challenge buyers picking VIP</t>
  </si>
  <si>
    <t xml:space="preserve">Cohort take-rate (% of challenge)</t>
  </si>
  <si>
    <t xml:space="preserve">fraction of attendees becoming cohort</t>
  </si>
  <si>
    <t xml:space="preserve">Warm-network seats per cohort</t>
  </si>
  <si>
    <t xml:space="preserve">seats from LinkedIn DMs / referrals / existing list</t>
  </si>
  <si>
    <t xml:space="preserve">SaaS annual fee / customer</t>
  </si>
  <si>
    <t xml:space="preserve">$/yr — RE wire-fraud, Phase 2</t>
  </si>
  <si>
    <t xml:space="preserve">SaaS annual attrition</t>
  </si>
  <si>
    <t xml:space="preserve">fraction not renewing</t>
  </si>
  <si>
    <t xml:space="preserve">Platform / tooling overhead / mo</t>
  </si>
  <si>
    <t xml:space="preserve">$/month — Listmonk VPS + tools</t>
  </si>
  <si>
    <t xml:space="preserve">Server unit cost / month</t>
  </si>
  <si>
    <t xml:space="preserve">$/month per OVH unit (incl backups)</t>
  </si>
  <si>
    <t xml:space="preserve">Payment plan adoption %</t>
  </si>
  <si>
    <t xml:space="preserve">fraction of cohort buyers choosing N-pay</t>
  </si>
  <si>
    <t xml:space="preserve">Payment plan months</t>
  </si>
  <si>
    <t xml:space="preserve">months across which plan is split</t>
  </si>
  <si>
    <t xml:space="preserve">Payment plan price uplift %</t>
  </si>
  <si>
    <t xml:space="preserve">small markup vs lump sum</t>
  </si>
  <si>
    <t xml:space="preserve">Card processing fee %</t>
  </si>
  <si>
    <t xml:space="preserve">Stripe/Invoice4U typical</t>
  </si>
  <si>
    <t xml:space="preserve">Card processing fee fixed $</t>
  </si>
  <si>
    <t xml:space="preserve">per transaction</t>
  </si>
  <si>
    <t xml:space="preserve">Cohort gross margin assumption</t>
  </si>
  <si>
    <t xml:space="preserve">after processing + plan uplift offset</t>
  </si>
  <si>
    <t xml:space="preserve">Year</t>
  </si>
  <si>
    <t xml:space="preserve">Year 1 (May 2026 – Apr 2027)</t>
  </si>
  <si>
    <t xml:space="preserve">Year 2 (May 2027 – Apr 2028)</t>
  </si>
  <si>
    <t xml:space="preserve">Year 3 (May 2028 – Apr 2029)</t>
  </si>
  <si>
    <t xml:space="preserve">Month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</si>
  <si>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</si>
  <si>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</si>
  <si>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</si>
  <si>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</si>
  <si>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</si>
  <si>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</si>
  <si>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</si>
  <si>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</si>
  <si>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Jan</t>
  </si>
  <si>
    <t xml:space="preserve">Feb</t>
  </si>
  <si>
    <t xml:space="preserve">Mar</t>
  </si>
  <si>
    <t xml:space="preserve">Apr</t>
  </si>
  <si>
    <t xml:space="preserve">New email subscribers / month</t>
  </si>
  <si>
    <t xml:space="preserve">Email list size</t>
  </si>
  <si>
    <t xml:space="preserve">Cohort run month (1 if cohort runs)</t>
  </si>
  <si>
    <t xml:space="preserve">Paid challenge — standard tickets / month (auto)</t>
  </si>
  <si>
    <t xml:space="preserve">Paid challenge — VIP tickets / month (auto)</t>
  </si>
  <si>
    <t xml:space="preserve">Challenge revenue</t>
  </si>
  <si>
    <t xml:space="preserve">Cohort seats sold this month (auto)</t>
  </si>
  <si>
    <t xml:space="preserve">Cohort lump-sum revenue (this month)</t>
  </si>
  <si>
    <t xml:space="preserve">Cohort plan-installment revenue (this month)</t>
  </si>
  <si>
    <t xml:space="preserve">Cohort revenue (lump + plan)</t>
  </si>
  <si>
    <t xml:space="preserve">New SaaS customers / month</t>
  </si>
  <si>
    <t xml:space="preserve">Total active SaaS customers</t>
  </si>
  <si>
    <t xml:space="preserve">SaaS revenue (monthly recognition)</t>
  </si>
  <si>
    <t xml:space="preserve">TOTAL REVENUE</t>
  </si>
  <si>
    <t xml:space="preserve">Card processing fees (est.)</t>
  </si>
  <si>
    <t xml:space="preserve">Server units</t>
  </si>
  <si>
    <t xml:space="preserve">Infrastructure cost</t>
  </si>
  <si>
    <t xml:space="preserve">Total expenses</t>
  </si>
  <si>
    <t xml:space="preserve">Profit / (Loss)</t>
  </si>
  <si>
    <t xml:space="preserve">Cumulative Profit / (Loss)</t>
  </si>
  <si>
    <t xml:space="preserve">Yellow = inputs (edit). Green = formulas (do not overwrite).</t>
  </si>
  <si>
    <t xml:space="preserve">Challenge tickets and cohort seats are AUTO-CALCULATED from email list × take-rates. Toggle a month on/off via "Cohort run month" (1 / 0).</t>
  </si>
  <si>
    <t xml:space="preserve">Plan-installment revenue spreads N-pay sales across the next N months (N = "Payment plan months").</t>
  </si>
  <si>
    <t xml:space="preserve">See "Funnel" sheet for top-of-funnel sanity check.</t>
  </si>
  <si>
    <t xml:space="preserve">YouTube → Email → Challenge → Cohort funnel (planning sheet)</t>
  </si>
  <si>
    <t xml:space="preserve">ASSUMPTIONS (edit yellow)</t>
  </si>
  <si>
    <t xml:space="preserve">Avg views / long-form video</t>
  </si>
  <si>
    <t xml:space="preserve">first-90-day avg for new niche tech channel</t>
  </si>
  <si>
    <t xml:space="preserve">Long-form videos / quarter</t>
  </si>
  <si>
    <t xml:space="preserve">~1/wk</t>
  </si>
  <si>
    <t xml:space="preserve">View → email subscriber %</t>
  </si>
  <si>
    <t xml:space="preserve">0.3-1% realistic; 0.5% mid</t>
  </si>
  <si>
    <t xml:space="preserve">Email subscriber → challenge ticket %</t>
  </si>
  <si>
    <t xml:space="preserve">1-3% on a launch; 2% mid</t>
  </si>
  <si>
    <t xml:space="preserve">Challenge ticket → cohort sale %</t>
  </si>
  <si>
    <t xml:space="preserve">10-20% on a paid challenge; 12% mid</t>
  </si>
  <si>
    <t xml:space="preserve">Cohort price ($)</t>
  </si>
  <si>
    <t xml:space="preserve">flagship</t>
  </si>
  <si>
    <t xml:space="preserve">Challenge ticket avg price ($)</t>
  </si>
  <si>
    <t xml:space="preserve">blended GA $97 / VIP $297</t>
  </si>
  <si>
    <t xml:space="preserve">SCENARIOS</t>
  </si>
  <si>
    <t xml:space="preserve">Scenario</t>
  </si>
  <si>
    <t xml:space="preserve">Bear (0.5×)</t>
  </si>
  <si>
    <t xml:space="preserve">Base (1×)</t>
  </si>
  <si>
    <t xml:space="preserve">Bull (2×)</t>
  </si>
  <si>
    <t xml:space="preserve">Total views (per quarter)</t>
  </si>
  <si>
    <t xml:space="preserve">Email signups (per quarter)</t>
  </si>
  <si>
    <t xml:space="preserve">Challenge tickets (per quarter)</t>
  </si>
  <si>
    <t xml:space="preserve">Cohort sales (per quarter)</t>
  </si>
  <si>
    <t xml:space="preserve">Cohort revenue ($/quarter)</t>
  </si>
  <si>
    <t xml:space="preserve">Challenge revenue ($/quarter)</t>
  </si>
  <si>
    <t xml:space="preserve">Total revenue ($/quarter)</t>
  </si>
  <si>
    <t xml:space="preserve">WARM-NETWORK SUPPLEMENT (real life &gt; pure funnel)</t>
  </si>
  <si>
    <t xml:space="preserve">Cohort sales from LinkedIn warm DMs / quarter</t>
  </si>
  <si>
    <t xml:space="preserve">Cohort sales from referrals / quarter</t>
  </si>
  <si>
    <t xml:space="preserve">Cohort sales from existing list (&gt;500 subs already) / quarter</t>
  </si>
  <si>
    <t xml:space="preserve">Total warm-supplement seats / quarter</t>
  </si>
  <si>
    <t xml:space="preserve">COMBINED Base seats per quarter (funnel + warm)</t>
  </si>
  <si>
    <t xml:space="preserve">COMBINED Base revenue per quarter</t>
  </si>
  <si>
    <t xml:space="preserve">Notes:</t>
  </si>
  <si>
    <t xml:space="preserve">* Funnel rates assume cold-start niche tech channel without paid ads. Adjust upward if existing audience &gt;1k engaged.</t>
  </si>
  <si>
    <t xml:space="preserve">* "Email signups → challenge tickets" rate (2%) assumes the launch is to a fresh / newly-warmed list.</t>
  </si>
  <si>
    <t xml:space="preserve">* "Challenge → cohort" 12% mid is the magic step — paid attendees convert ~10x free email leads.</t>
  </si>
  <si>
    <t xml:space="preserve">* This sheet does NOT model compounding list growth. For W12 Cohort #1 plan, see "Ami — Projection" seat ramp.</t>
  </si>
  <si>
    <t xml:space="preserve">* Realistic Cohort #1 (W12) target: 3 seats. Stretch: 5. Hitting 8 implies Bull-scenario top-of-funnel from W01.</t>
  </si>
  <si>
    <t xml:space="preserve">Graham Cochrane — Business Model Notes</t>
  </si>
  <si>
    <t xml:space="preserve">Book 1 — How to Get Paid for What You Know (211 pp)</t>
  </si>
  <si>
    <t xml:space="preserve">Core thesis</t>
  </si>
  <si>
    <t xml:space="preserve">Build a Value Circle: Give (free content) -&gt; Sell (course) -&gt; Overdeliver (bonuses) -&gt; Receive (money + referrals). Income is determined by how many people you serve and how well you serve them.</t>
  </si>
  <si>
    <t xml:space="preserve">Cochrane's own ramp</t>
  </si>
  <si>
    <t xml:space="preserve">Food stamps -&gt; $1k/mo by month 12 -&gt; $60k/yr by month 24 -&gt; $10k/mo by month 25 -&gt; $1M+/yr by year 3+.</t>
  </si>
  <si>
    <t xml:space="preserve">Book 2 — Rebel (138 pp)</t>
  </si>
  <si>
    <t xml:space="preserve">Personal-development lens: live authentically, pursue work aligned with your talents and values. Online business enables lifestyle freedom. Cochrane works &lt;20 hrs/week earning multiple seven figures. Action and discipline &gt; perfect conditions.</t>
  </si>
  <si>
    <t xml:space="preserve">Pricing &amp; Conversion Benchmarks</t>
  </si>
  <si>
    <t xml:space="preserve">Course pricing — tiered (Cochrane's range)</t>
  </si>
  <si>
    <t xml:space="preserve">Low $97-$197, mid $297-$397, high $597-$997. Tiered offers lift AOV ~50%; ~50% of buyers pick the middle tier. (Rethink Mixing example: $99/$149/$349.)</t>
  </si>
  <si>
    <t xml:space="preserve">Launch conversion</t>
  </si>
  <si>
    <t xml:space="preserve">0.5%-1% of email list buys per launch. Example: 5K list * $297 * 0.7% = ~$10k launch.</t>
  </si>
  <si>
    <t xml:space="preserve">Evergreen conversion</t>
  </si>
  <si>
    <t xml:space="preserve">~0.1%/month between launches.</t>
  </si>
  <si>
    <t xml:space="preserve">Email engagement</t>
  </si>
  <si>
    <t xml:space="preserve">Open rate 40-50% (small lists), 15-30% (mature). Click rate 0.5%-7%.</t>
  </si>
  <si>
    <t xml:space="preserve">Launch cadence</t>
  </si>
  <si>
    <t xml:space="preserve">3/year typical (Feb / May / Sep). Skip Q4 holidays.</t>
  </si>
  <si>
    <t xml:space="preserve">Cohort / mastermind pricing</t>
  </si>
  <si>
    <t xml:space="preserve">$1k-$3k per seat, 8-12 seats, 2-3 runs/year.</t>
  </si>
  <si>
    <t xml:space="preserve">Consulting / coaching</t>
  </si>
  <si>
    <t xml:space="preserve">1-on-1 retainers $500-$2k/mo. Hourly $150-$500.</t>
  </si>
  <si>
    <t xml:space="preserve">Revenue Streams (mapped to this model)</t>
  </si>
  <si>
    <t xml:space="preserve">Self-paced course (flagship)</t>
  </si>
  <si>
    <t xml:space="preserve">Tiered $199 / $599 / $1999 (this model). Cochrane recommends starting $97-$197 base with mid/high tiers above.</t>
  </si>
  <si>
    <t xml:space="preserve">Promo week (5 daily group sessions)</t>
  </si>
  <si>
    <t xml:space="preserve">$199 standard / $599 VIP. Monthly recurring teaching event for prospects.</t>
  </si>
  <si>
    <t xml:space="preserve">Group cohort / mastermind</t>
  </si>
  <si>
    <t xml:space="preserve">$2,000 per seat x 10 seats = $20k per run, 2 runs/year in this model.</t>
  </si>
  <si>
    <t xml:space="preserve">1-on-1 consulting</t>
  </si>
  <si>
    <t xml:space="preserve">$500/hr — packages of 1 hr/week, or retainer at $3,000/mo (= 6 hrs).</t>
  </si>
  <si>
    <t xml:space="preserve">Community membership</t>
  </si>
  <si>
    <t xml:space="preserve">$99/month (cheapest item). Open after first course launch.</t>
  </si>
  <si>
    <t xml:space="preserve">B2B SaaS (RE doc-signing / wire-fraud prevention)</t>
  </si>
  <si>
    <t xml:space="preserve">Annual fee modeled at $5,000/customer/year. Rule of thumb: charge ~1/10 of the customer's annual potential loss. Edit B22 to tune.</t>
  </si>
  <si>
    <t xml:space="preserve">Overhead Recommendations</t>
  </si>
  <si>
    <t xml:space="preserve">Platform stack (his)</t>
  </si>
  <si>
    <t xml:space="preserve">Kajabi all-in-one $119-$300/mo. Substitute: self-hosted Listmonk + own video, ~$50/mo VPS overhead (Ami's setup).</t>
  </si>
  <si>
    <t xml:space="preserve">Video equipment</t>
  </si>
  <si>
    <t xml:space="preserve">Smartphone + lavalier mic + free editor. &lt;$200 one-time.</t>
  </si>
  <si>
    <t xml:space="preserve">VA / part-time help</t>
  </si>
  <si>
    <t xml:space="preserve">Not required for launch. $500-$2k/mo when you scale.</t>
  </si>
  <si>
    <t xml:space="preserve">Paid ads</t>
  </si>
  <si>
    <t xml:space="preserve">Cochrane does NOT recommend until free traffic is exhausted, products are selling, and the funnel is proven.</t>
  </si>
  <si>
    <t xml:space="preserve">Recommended Ramp Timeline</t>
  </si>
  <si>
    <t xml:space="preserve">Months 0-6</t>
  </si>
  <si>
    <t xml:space="preserve">Build audience: weekly content, validate idea via customer research. No course yet. Founder draw $4k/mo (this model).</t>
  </si>
  <si>
    <t xml:space="preserve">Months 6-12</t>
  </si>
  <si>
    <t xml:space="preserve">Launch first course. Cochrane: 0.5-1% list conversion. This model uses 1.5% (more aggressive). Expect $5k-$15k first launch.</t>
  </si>
  <si>
    <t xml:space="preserve">Months 12-18</t>
  </si>
  <si>
    <t xml:space="preserve">Promo week starts. List 1k-2k. Founder draw stays at $4k/mo through M12.</t>
  </si>
  <si>
    <t xml:space="preserve">Months 18-24</t>
  </si>
  <si>
    <t xml:space="preserve">First cohort run. List 2k-3k. Founder draw bumps to $6k/mo for Year 2.</t>
  </si>
  <si>
    <t xml:space="preserve">Year 3 (M25-M36)</t>
  </si>
  <si>
    <t xml:space="preserve">Full revenue mix: course launches + promo + cohorts + consulting + membership + SaaS. Founder draw bumps to $10k/mo.</t>
  </si>
  <si>
    <t xml:space="preserve">Key Takeaways</t>
  </si>
  <si>
    <t xml:space="preserve">Email list = #1 asset</t>
  </si>
  <si>
    <t xml:space="preserve">Ignore vanity follower counts. Build email list of blockchain devs/students.</t>
  </si>
  <si>
    <t xml:space="preserve">Content is evergreen currency</t>
  </si>
  <si>
    <t xml:space="preserve">YouTube + blog weekly for 12+ months drives free traffic indefinitely.</t>
  </si>
  <si>
    <t xml:space="preserve">Tiered pricing</t>
  </si>
  <si>
    <t xml:space="preserve">$199 / $599 / $1999 (this model). Roughly 3x and 3.3x between tiers; blended AOV well above any single price.</t>
  </si>
  <si>
    <t xml:space="preserve">Pricing floor</t>
  </si>
  <si>
    <t xml:space="preserve">Nothing one-time below $199. Membership at $99/mo is the only sub-$199 item (recurring).</t>
  </si>
  <si>
    <t xml:space="preserve">Consulting unlock</t>
  </si>
  <si>
    <t xml:space="preserve">$500/hr * 60 hrs cap = $30k/mo ceiling — significant lever.</t>
  </si>
  <si>
    <t xml:space="preserve">Book 3 — The Effortless Business (54 pp, 2026)</t>
  </si>
  <si>
    <t xml:space="preserve">Build a high-income, low-maintenance business via the Effortless Income Engine: Client Magnet (one weekly long-form piece) + Magic Offer (one high-ticket offer) + Effortless Enrollment (paid virtual events). Three marks of success: Money, Margin, Meaning. Built around your Uniqueness in the middle.</t>
  </si>
  <si>
    <t xml:space="preserve">Cochrane's current state</t>
  </si>
  <si>
    <t xml:space="preserve">Works ~5 hrs/week, generates $3M-$5M/yr. Mondays = thinking, Tuesdays = record podcast, Wednesdays = inner-circle coaching, Thursdays = light, Fridays off (date day). Editing/clipping/upload all delegated.</t>
  </si>
  <si>
    <t xml:space="preserve">Effortless Income Engine — 3 Systems</t>
  </si>
  <si>
    <t xml:space="preserve">System 1 — Client Magnet</t>
  </si>
  <si>
    <t xml:space="preserve">ONE long-form piece per week (30-45 min YouTube/podcast). Searchable + evergreen + immersive. Speak to ONE person ("Chad" persona). Hub-and-spoke: chop into Reels/Shorts. Do NOT post daily. Quality over quantity. Aiko example: 500 subs, $30k/mo.</t>
  </si>
  <si>
    <t xml:space="preserve">System 2 — Magic Offer</t>
  </si>
  <si>
    <t xml:space="preserve">ONE high-ticket offer ($5k-$100k+). MAGIC acronym = Measurable outcome, Actionable steps, Generous payoff (10x value), Infinitely scalable, Clear name. Avoid bloat: bloated offer signals insecurity.</t>
  </si>
  <si>
    <t xml:space="preserve">System 3 — Effortless Enrollment</t>
  </si>
  <si>
    <t xml:space="preserve">Sell via paid virtual events (3-4 hr master class OR 3-5 day paid challenge), NOT free webinars or 1-on-1 sales calls. GA ticket $47-$97, VIP $147-$297. Logic: paid customers &gt; free leads (IKEA effect, commitment, social proof, reciprocity, scarcity).</t>
  </si>
  <si>
    <t xml:space="preserve">Magic Offer Matrix</t>
  </si>
  <si>
    <t xml:space="preserve">4 quadrants (price x ease-of-conversion): Pointless (low/hard), Needy (low/easy = exhausting volume + complainers), Exhausting (high/hard = sales-call hell), MAGIC (high/easy). Build only Magic offers.</t>
  </si>
  <si>
    <t xml:space="preserve">Pricing Math</t>
  </si>
  <si>
    <t xml:space="preserve">64/4 rule</t>
  </si>
  <si>
    <t xml:space="preserve">80/20 applied twice: top 4% of customers spend 16x the average. Build product line for the 80%, the 16%, AND the 4%. Espresso machine principle: Starbucks puts a $170 espresso machine on the counter for the 4% who will buy it.</t>
  </si>
  <si>
    <t xml:space="preserve">Million-dollar math</t>
  </si>
  <si>
    <t xml:space="preserve">$100 offer = 10,000 sales/yr (27/day). $1k = 1,000 sales/yr (3/day). $10k = 100 sales/yr (8/mo). $100k = 10 sales/yr (1/mo). Pick path of least resistance — most struggling founders chose the wrong column.</t>
  </si>
  <si>
    <t xml:space="preserve">Pricing rule</t>
  </si>
  <si>
    <t xml:space="preserve">Charge ~1/10 of the value you create OR cost of the alternative OR cost of NOT solving. Frank example: divorce costs $100k+; marriage coaching = $10k, not $3k. Cochrane's $250k VIP day = clients earn $2.5M+/yr from it.</t>
  </si>
  <si>
    <t xml:space="preserve">6 Ps of premium pricing</t>
  </si>
  <si>
    <t xml:space="preserve">Profit, Protection, Peace, Pipeline, Positioning, Participation. Higher price -&gt; fewer/more-committed clients -&gt; better results -&gt; better testimonials -&gt; easier sales. Price-quality inference: higher price = higher perceived quality.</t>
  </si>
  <si>
    <t xml:space="preserve">Offer Construction (4 Ps)</t>
  </si>
  <si>
    <t xml:space="preserve">Pieces / Process / Person / Payoff</t>
  </si>
  <si>
    <t xml:space="preserve">Most founders spend 80% of pitch on pieces (modules), process (your method), or person (your bio). Spend 80-95% on PAYOFF (the outcome). People do not buy stuff; they buy certainty of outcome.</t>
  </si>
  <si>
    <t xml:space="preserve">5-step Magic Offer build</t>
  </si>
  <si>
    <t xml:space="preserve">1. Name = the outcome ("World-Class Mixes"; use Rory Vaden's "I want ___" test). 2. Price = 1/10 of value. 3. Define hell -&gt; heaven. 4. Map 3-4 high-level steps. 5. Choose fulfillment (cohort / VIP day / course / 90-day intensive — your choice, your lifestyle).</t>
  </si>
  <si>
    <t xml:space="preserve">20-Hour CEO — Dream Week (4 Pillars)</t>
  </si>
  <si>
    <t xml:space="preserve">Recharge</t>
  </si>
  <si>
    <t xml:space="preserve">Block weekly time to refuel: gym, walk, prayer, coffee shop. START the week with these, NOT work tasks. Time isn't your most limited resource — energy is.</t>
  </si>
  <si>
    <t xml:space="preserve">Relationship</t>
  </si>
  <si>
    <t xml:space="preserve">Block weekly time with spouse, kids, mentors. Cochrane: Fridays = wife date day, mornings with daughters, home by 3-4pm.</t>
  </si>
  <si>
    <t xml:space="preserve">Rainmaker</t>
  </si>
  <si>
    <t xml:space="preserve">3-5 activities that drive most revenue. Cochrane: weekly podcast + coaching inner-circle + monthly $10k-offer challenge. Everything else gets E-A-D.</t>
  </si>
  <si>
    <t xml:space="preserve">Reflection</t>
  </si>
  <si>
    <t xml:space="preserve">Mondays = thinking day. No coaching/creating/selling. Read, journal, plan. "We don't learn from experiences, we learn from reflecting on them." (Rich Litvin)</t>
  </si>
  <si>
    <t xml:space="preserve">EAD framework (Tim Ferriss)</t>
  </si>
  <si>
    <t xml:space="preserve">Eliminate (don't do it at all) -&gt; Automate (software/AI) -&gt; Delegate (hire). In that order. Audit every subtask. Star the ones requiring your face/voice/genius — outsource everything else.</t>
  </si>
  <si>
    <t xml:space="preserve">Parkinson's law</t>
  </si>
  <si>
    <t xml:space="preserve">Give yourself less time. Cochrane: 1 hr/week to record 45-min podcast. Email checked once/day. Themed days: content / coaching / admin. 90-min focused sprints with breaks. No meetings before noon.</t>
  </si>
  <si>
    <t xml:space="preserve">Application — Ami's Two Plays</t>
  </si>
  <si>
    <t xml:space="preserve">Play A — Antelope/EOSIO Dev Course</t>
  </si>
  <si>
    <t xml:space="preserve">Client Magnet: weekly 30-45 min YouTube on Antelope smart-contract dev. Persona = ONE person (e.g. "junior Solidity dev curious about WAX/Telos/Vaulta"). Magic Offer: $5k-$10k cohort "Ship Your First Antelope Smart Contract in 60 Days" (NOT a $199 self-paced course as primary — that is the "Needy" quadrant). Enrollment: paid 5-day challenge ($97) -&gt; cohort pitch on day 5. Tier the projection downward: drop the $199 tier, keep $599 only as on-ramp, push $1999+ as flagship.</t>
  </si>
  <si>
    <t xml:space="preserve">Play B — RE Wire-Fraud / Doc-Trail SaaS</t>
  </si>
  <si>
    <t xml:space="preserve">Pure Cochrane model is for experts/coaches; SaaS is structurally different. BUT apply 1/10 rule: avg US wire-fraud loss ~$200k+ per incident -&gt; charge $20k-$30k/yr/firm, not $5k. Client Magnet: weekly long-form for title-company / RE-broker compliance officers ("Title Insider"-style podcast). Magic Offer: $25k/yr enterprise + $10k-$25k onboarding per firm. Enrollment: paid half-day compliance workshop ($297) -&gt; SaaS pitch. Treat SaaS like a coaching offer with software, not a self-serve PLG product.</t>
  </si>
  <si>
    <t xml:space="preserve">Compatibility warning</t>
  </si>
  <si>
    <t xml:space="preserve">Run BOTH plays simultaneously = complexity trap (Cochrane killed 23 courses + 2 memberships down to 1 magic offer). Recommendation: sequence them. Antelope course first (your existing skill, faster to ship, lower stakes). RE SaaS second (longer enterprise sales cycle, regulated buyers). Different audiences = different magnets = different brands.</t>
  </si>
  <si>
    <t xml:space="preserve">Key Differences from Books 1 &amp; 2</t>
  </si>
  <si>
    <t xml:space="preserve">Pricing floor moves UP</t>
  </si>
  <si>
    <t xml:space="preserve">Books 1-2: $97-$997 tiers. Book 3: minimum $5k, target $10k-$100k. Driver: 64/4 rule + the math that 100 sales/yr is dramatically easier than 10,000 sales/yr.</t>
  </si>
  <si>
    <t xml:space="preserve">No 1-on-1 sales calls</t>
  </si>
  <si>
    <t xml:space="preserve">Books 1-2 did not emphasize this. Book 3: replace discovery calls with paid virtual events. Reasoning: calls are 1:1 (low leverage) + create pressure for both parties + you can only sell once per call.</t>
  </si>
  <si>
    <t xml:space="preserve">Energy &gt; Time</t>
  </si>
  <si>
    <t xml:space="preserve">"Time is not your most limited resource — energy is." Energy audit (drainers vs. givers) + Dream Week wheel replaces conventional time-blocking productivity advice.</t>
  </si>
  <si>
    <t xml:space="preserve">Faith chapter</t>
  </si>
  <si>
    <t xml:space="preserve">Final chapter is explicitly Christian (Moses/Exodus narrative, prayer practice, Matthew 11:28-30). Filter as needed; the business framework stands without it.</t>
  </si>
  <si>
    <t xml:space="preserve">US RE-company TAM  (Total Addressable Market) (sizing the SaaS opportunity)</t>
  </si>
  <si>
    <t xml:space="preserve">Segment</t>
  </si>
  <si>
    <t xml:space="preserve">US count (≈)</t>
  </si>
  <si>
    <t xml:space="preserve">Wire-fraud / e-signature fit</t>
  </si>
  <si>
    <t xml:space="preserve">Title insurance / settlement services</t>
  </si>
  <si>
    <t xml:space="preserve">Highest — handle closing wire transfers</t>
  </si>
  <si>
    <t xml:space="preserve">Real estate attorneys (closings)</t>
  </si>
  <si>
    <t xml:space="preserve">High — escrow + signed disclosures</t>
  </si>
  <si>
    <t xml:space="preserve">Mortgage lenders / brokers</t>
  </si>
  <si>
    <t xml:space="preserve">High — closing docs + wire instructions</t>
  </si>
  <si>
    <t xml:space="preserve">Real estate brokerages</t>
  </si>
  <si>
    <t xml:space="preserve">Medium — disclosures, listing agreements</t>
  </si>
  <si>
    <t xml:space="preserve">Property management companies</t>
  </si>
  <si>
    <t xml:space="preserve">Medium — leases, security deposits</t>
  </si>
  <si>
    <t xml:space="preserve">Real estate developers</t>
  </si>
  <si>
    <t xml:space="preserve">Medium — purchase agreements</t>
  </si>
  <si>
    <t xml:space="preserve">Prime TAM (title + attorneys + lenders)</t>
  </si>
  <si>
    <t xml:space="preserve">Orgs that actually move closing funds</t>
  </si>
  <si>
    <t xml:space="preserve">Wider TAM (any RE doc-signing audit need)</t>
  </si>
  <si>
    <t xml:space="preserve">All segments above combined</t>
  </si>
  <si>
    <t xml:space="preserve">Penetration check</t>
  </si>
  <si>
    <t xml:space="preserve">Active SaaS customers (M36)</t>
  </si>
  <si>
    <t xml:space="preserve">From Projection sheet — final-month active SaaS count</t>
  </si>
  <si>
    <t xml:space="preserve">% of prime TAM</t>
  </si>
  <si>
    <t xml:space="preserve">Conservative — 1% of prime TAM = ~465 customers</t>
  </si>
  <si>
    <t xml:space="preserve">% of wider TAM</t>
  </si>
  <si>
    <t xml:space="preserve">Risk anchor for pricing</t>
  </si>
  <si>
    <t xml:space="preserve">FBI IC3 — RE-related wire fraud losses</t>
  </si>
  <si>
    <t xml:space="preserve">$400M+ / year</t>
  </si>
  <si>
    <t xml:space="preserve">Annual industry-wide loss reported by the FBI Internet Crime Complaint Center.</t>
  </si>
  <si>
    <t xml:space="preserve">Average per-incident loss</t>
  </si>
  <si>
    <t xml:space="preserve">$300k – $800k</t>
  </si>
  <si>
    <t xml:space="preserve">Range from FBI / ALTA reporting. A single fraud event can exceed a small firm's annual revenue.</t>
  </si>
  <si>
    <t xml:space="preserve">Typical small firm closings / month</t>
  </si>
  <si>
    <t xml:space="preserve">5 – 20</t>
  </si>
  <si>
    <t xml:space="preserve">Title + attorney shops; each closing is a wire-fraud risk surface.</t>
  </si>
  <si>
    <t xml:space="preserve">Annual exposure for an active firm</t>
  </si>
  <si>
    <t xml:space="preserve">high six figures</t>
  </si>
  <si>
    <t xml:space="preserve">Volume × per-incident loss × small probability still nets a six-figure expected-loss number for busy firms.</t>
  </si>
  <si>
    <t xml:space="preserve">Pricing rule (Ami)</t>
  </si>
  <si>
    <t xml:space="preserve">≈ 1/10 of annual loss exposure</t>
  </si>
  <si>
    <t xml:space="preserve">Phase 2 plan locks $25,000/yr/firm flat (target small/mid title firms). Anchor = 1/10 of avg per-firm wire-fraud exposure. Edit B22 in Projection sheet to tune.</t>
  </si>
  <si>
    <t xml:space="preserve">Caveats</t>
  </si>
  <si>
    <t xml:space="preserve">Counts are rough order-of-magnitude estimates compiled from public sources (NAR, ALTA, IBISWorld categories, FBI IC3 reports). Verify before pitching investors.</t>
  </si>
  <si>
    <t xml:space="preserve">Engineer fully loaded cost / month</t>
  </si>
  <si>
    <t xml:space="preserve">$/month</t>
  </si>
  <si>
    <t xml:space="preserve">Salesperson fully loaded cost / month</t>
  </si>
  <si>
    <t xml:space="preserve">Customer-success fully loaded cost / mo</t>
  </si>
  <si>
    <t xml:space="preserve">Admin fully loaded cost / month</t>
  </si>
  <si>
    <t xml:space="preserve">Founder cost / month</t>
  </si>
  <si>
    <t xml:space="preserve">Salaries as % of total expenses</t>
  </si>
  <si>
    <t xml:space="preserve">rest is overhead/SaaS/etc</t>
  </si>
  <si>
    <t xml:space="preserve">License fee / customer / year</t>
  </si>
  <si>
    <t xml:space="preserve">$</t>
  </si>
  <si>
    <t xml:space="preserve">Annual attrition rate</t>
  </si>
  <si>
    <t xml:space="preserve">1 new-account salesperson generates</t>
  </si>
  <si>
    <t xml:space="preserve">new customers / month</t>
  </si>
  <si>
    <t xml:space="preserve">1 existing-account salesperson supports</t>
  </si>
  <si>
    <t xml:space="preserve">active customers</t>
  </si>
  <si>
    <t xml:space="preserve">1 customer-success person supports</t>
  </si>
  <si>
    <t xml:space="preserve">Initial investment</t>
  </si>
  <si>
    <t xml:space="preserve">$ — offsets aggregate P/L</t>
  </si>
  <si>
    <t xml:space="preserve">Year 1</t>
  </si>
  <si>
    <t xml:space="preserve">Year 2</t>
  </si>
  <si>
    <t xml:space="preserve">Year 3</t>
  </si>
  <si>
    <t xml:space="preserve">Number of new customers</t>
  </si>
  <si>
    <t xml:space="preserve">Number of renewing customers</t>
  </si>
  <si>
    <t xml:space="preserve">Total number of customers</t>
  </si>
  <si>
    <t xml:space="preserve">Revenue</t>
  </si>
  <si>
    <t xml:space="preserve">Salespeople — new accounts</t>
  </si>
  <si>
    <t xml:space="preserve">Salespeople — existing customers</t>
  </si>
  <si>
    <t xml:space="preserve">Engineers</t>
  </si>
  <si>
    <t xml:space="preserve">Founders</t>
  </si>
  <si>
    <t xml:space="preserve">Customer-success people</t>
  </si>
  <si>
    <t xml:space="preserve">Admin</t>
  </si>
  <si>
    <t xml:space="preserve">Salaries (headcount × cost)</t>
  </si>
  <si>
    <t xml:space="preserve">Expenses (= salaries / salary %)</t>
  </si>
  <si>
    <t xml:space="preserve">Profit and (Loss)</t>
  </si>
  <si>
    <t xml:space="preserve">Aggregate Profit and (Loss) − Investment</t>
  </si>
  <si>
    <t xml:space="preserve">Yellow = inputs (edit). Green = formulas (don't overwrite).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</si>
</sst>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%"/>
    <numFmt numFmtId="166" formatCode="\$#,##0;[RED]&quot;-$&quot;#,##0"/>
    <numFmt numFmtId="167" formatCode="#,##0"/>
    <numFmt numFmtId="168" formatCode="#,##0.0"/>
    <numFmt numFmtId="169" formatCode="General"/>
    <numFmt numFmtId="170" formatCode="0.00%"/>
    <numFmt numFmtId="171" formatCode="#,##0;[RED]\-#,##0"/>
    <numFmt numFmtId="172" formatCode="\$#,##0;[RED]&quot;($&quot;#,##0\)"/>
  </numFmts>
  <fonts count="12">
    <font>
      <sz val="11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color theme="1"/>
      <name val="Arial"/>
      <family val="2"/>
      <charset val="1"/>
    </font>
    <font>
      <i val="true"/>
      <sz val="11"/>
      <name val="Cambria"/>
      <family val="0"/>
      <charset val="1"/>
    </font>
    <font>
      <b val="true"/>
      <sz val="14"/>
      <name val="Cambria"/>
      <family val="0"/>
      <charset val="1"/>
    </font>
    <font>
      <b val="true"/>
      <sz val="16"/>
      <name val="Cambria"/>
      <family val="0"/>
      <charset val="1"/>
    </font>
    <font>
      <b val="true"/>
      <sz val="13"/>
      <name val="Cambria"/>
      <family val="0"/>
      <charset val="1"/>
    </font>
    <font>
      <sz val="11"/>
      <color theme="1"/>
      <name val="Calibri"/>
      <family val="2"/>
      <charset val="1"/>
    </font>
    <font>
      <i val="true"/>
      <sz val="11"/>
      <color rgb="FF666666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E2EFDA"/>
        <bgColor rgb="FFDCE6F1"/>
      </patternFill>
    </fill>
    <fill>
      <patternFill patternType="solid">
        <fgColor rgb="FFFCE4D6"/>
        <bgColor rgb="FFFFF2CC"/>
      </patternFill>
    </fill>
    <fill>
      <patternFill patternType="solid">
        <fgColor rgb="FFDCE6F1"/>
        <bgColor rgb="FFE2EFDA"/>
      </patternFill>
    </fill>
    <fill>
      <patternFill patternType="solid">
        <fgColor rgb="FFB4C7E7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 readingOrder="1"/>
      <protection locked="true" hidden="false"/>
    </xf>
    <xf numFmtId="164" fontId="9" fillId="4" borderId="0" xfId="0" applyFont="true" applyBorder="false" applyAlignment="true" applyProtection="false">
      <alignment horizontal="left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 readingOrder="1"/>
      <protection locked="true" hidden="false"/>
    </xf>
    <xf numFmtId="164" fontId="10" fillId="0" borderId="0" xfId="0" applyFont="true" applyBorder="false" applyAlignment="true" applyProtection="false">
      <alignment horizontal="left" vertical="top" textRotation="0" wrapText="true" indent="0" shrinkToFit="false" readingOrder="1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 readingOrder="1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 readingOrder="1"/>
      <protection locked="true" hidden="false"/>
    </xf>
    <xf numFmtId="164" fontId="4" fillId="5" borderId="0" xfId="0" applyFont="true" applyBorder="false" applyAlignment="true" applyProtection="false">
      <alignment horizontal="left" vertical="top" textRotation="0" wrapText="true" indent="0" shrinkToFit="false" readingOrder="1"/>
      <protection locked="true" hidden="false"/>
    </xf>
    <xf numFmtId="167" fontId="10" fillId="0" borderId="0" xfId="0" applyFont="true" applyBorder="false" applyAlignment="true" applyProtection="false">
      <alignment horizontal="right" vertical="top" textRotation="0" wrapText="false" indent="0" shrinkToFit="false" readingOrder="1"/>
      <protection locked="true" hidden="false"/>
    </xf>
    <xf numFmtId="167" fontId="4" fillId="0" borderId="0" xfId="0" applyFont="true" applyBorder="false" applyAlignment="true" applyProtection="false">
      <alignment horizontal="right" vertical="top" textRotation="0" wrapText="false" indent="0" shrinkToFit="false" readingOrder="1"/>
      <protection locked="true" hidden="false"/>
    </xf>
    <xf numFmtId="164" fontId="9" fillId="4" borderId="0" xfId="0" applyFont="true" applyBorder="false" applyAlignment="true" applyProtection="false">
      <alignment horizontal="left" vertical="top" textRotation="0" wrapText="true" indent="0" shrinkToFit="false" readingOrder="1"/>
      <protection locked="true" hidden="false"/>
    </xf>
    <xf numFmtId="170" fontId="10" fillId="0" borderId="0" xfId="0" applyFont="true" applyBorder="false" applyAlignment="true" applyProtection="false">
      <alignment horizontal="right" vertical="top" textRotation="0" wrapText="false" indent="0" shrinkToFit="false" readingOrder="1"/>
      <protection locked="true" hidden="false"/>
    </xf>
    <xf numFmtId="164" fontId="10" fillId="0" borderId="0" xfId="0" applyFont="true" applyBorder="false" applyAlignment="true" applyProtection="false">
      <alignment horizontal="right" vertical="top" textRotation="0" wrapText="false" indent="0" shrinkToFit="false" readingOrder="1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49"/>
  <sheetViews>
    <sheetView showFormulas="false" showGridLines="true" showRowColHeaders="true" showZeros="true" rightToLeft="false" tabSelected="true" showOutlineSymbols="true" defaultGridColor="true" view="normal" topLeftCell="A17" colorId="64" zoomScale="100" zoomScaleNormal="100" zoomScalePageLayoutView="100" workbookViewId="0">
      <pane xSplit="1" ySplit="0" topLeftCell="B17" activePane="topRight" state="frozen"/>
      <selection pane="topLeft" activeCell="A17" activeCellId="0" sqref="A17"/>
      <selection pane="topRight" activeCell="I44" activeCellId="0" sqref="I44"/>
    </sheetView>
  </sheetViews>
  <sheetFormatPr defaultColWidth="8.6171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1"/>
    <col collapsed="false" customWidth="true" hidden="false" outlineLevel="0" max="3" min="3" style="0" width="9.24"/>
    <col collapsed="false" customWidth="true" hidden="false" outlineLevel="0" max="37" min="4" style="0" width="11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</row>
    <row r="2" customFormat="false" ht="15" hidden="false" customHeight="false" outlineLevel="0" collapsed="false">
      <c r="A2" s="0" t="s">
        <v>1</v>
      </c>
      <c r="B2" s="3" t="n">
        <v>0.01</v>
      </c>
      <c r="C2" s="0" t="s">
        <v>2</v>
      </c>
    </row>
    <row r="3" customFormat="false" ht="15" hidden="false" customHeight="false" outlineLevel="0" collapsed="false">
      <c r="A3" s="0" t="s">
        <v>3</v>
      </c>
      <c r="B3" s="4" t="n">
        <v>5000</v>
      </c>
      <c r="C3" s="0" t="s">
        <v>4</v>
      </c>
    </row>
    <row r="4" customFormat="false" ht="15" hidden="false" customHeight="false" outlineLevel="0" collapsed="false">
      <c r="A4" s="0" t="s">
        <v>5</v>
      </c>
      <c r="B4" s="5" t="n">
        <v>12</v>
      </c>
      <c r="C4" s="0" t="s">
        <v>6</v>
      </c>
    </row>
    <row r="5" customFormat="false" ht="15" hidden="false" customHeight="false" outlineLevel="0" collapsed="false">
      <c r="A5" s="0" t="s">
        <v>7</v>
      </c>
      <c r="B5" s="4" t="n">
        <v>97</v>
      </c>
      <c r="C5" s="0" t="s">
        <v>8</v>
      </c>
    </row>
    <row r="6" customFormat="false" ht="15" hidden="false" customHeight="false" outlineLevel="0" collapsed="false">
      <c r="A6" s="0" t="s">
        <v>9</v>
      </c>
      <c r="B6" s="4" t="n">
        <v>297</v>
      </c>
      <c r="C6" s="0" t="s">
        <v>10</v>
      </c>
    </row>
    <row r="7" customFormat="false" ht="15" hidden="false" customHeight="false" outlineLevel="0" collapsed="false">
      <c r="A7" s="0" t="s">
        <v>11</v>
      </c>
      <c r="B7" s="3" t="n">
        <v>0.04</v>
      </c>
      <c r="C7" s="0" t="s">
        <v>12</v>
      </c>
    </row>
    <row r="8" customFormat="false" ht="15" hidden="false" customHeight="false" outlineLevel="0" collapsed="false">
      <c r="A8" s="0" t="s">
        <v>13</v>
      </c>
      <c r="B8" s="3" t="n">
        <v>0.15</v>
      </c>
      <c r="C8" s="0" t="s">
        <v>14</v>
      </c>
    </row>
    <row r="9" customFormat="false" ht="15" hidden="false" customHeight="false" outlineLevel="0" collapsed="false">
      <c r="A9" s="0" t="s">
        <v>15</v>
      </c>
      <c r="B9" s="3" t="n">
        <v>0.15</v>
      </c>
      <c r="C9" s="0" t="s">
        <v>16</v>
      </c>
    </row>
    <row r="10" customFormat="false" ht="15" hidden="false" customHeight="false" outlineLevel="0" collapsed="false">
      <c r="A10" s="0" t="s">
        <v>17</v>
      </c>
      <c r="B10" s="5" t="n">
        <v>2</v>
      </c>
      <c r="C10" s="0" t="s">
        <v>18</v>
      </c>
    </row>
    <row r="11" customFormat="false" ht="15" hidden="false" customHeight="false" outlineLevel="0" collapsed="false">
      <c r="A11" s="0" t="s">
        <v>19</v>
      </c>
      <c r="B11" s="4" t="n">
        <v>25000</v>
      </c>
      <c r="C11" s="0" t="s">
        <v>20</v>
      </c>
    </row>
    <row r="12" customFormat="false" ht="15" hidden="false" customHeight="false" outlineLevel="0" collapsed="false">
      <c r="A12" s="0" t="s">
        <v>21</v>
      </c>
      <c r="B12" s="3" t="n">
        <v>0.1</v>
      </c>
      <c r="C12" s="0" t="s">
        <v>22</v>
      </c>
    </row>
    <row r="13" customFormat="false" ht="15" hidden="false" customHeight="false" outlineLevel="0" collapsed="false">
      <c r="A13" s="0" t="s">
        <v>23</v>
      </c>
      <c r="B13" s="4" t="n">
        <v>50</v>
      </c>
      <c r="C13" s="0" t="s">
        <v>24</v>
      </c>
    </row>
    <row r="14" customFormat="false" ht="15" hidden="false" customHeight="false" outlineLevel="0" collapsed="false">
      <c r="A14" s="0" t="s">
        <v>25</v>
      </c>
      <c r="B14" s="4" t="n">
        <v>50</v>
      </c>
      <c r="C14" s="0" t="s">
        <v>26</v>
      </c>
    </row>
    <row r="15" customFormat="false" ht="15" hidden="false" customHeight="false" outlineLevel="0" collapsed="false">
      <c r="A15" s="0" t="s">
        <v>27</v>
      </c>
      <c r="B15" s="3" t="n">
        <v>0.45</v>
      </c>
      <c r="C15" s="0" t="s">
        <v>28</v>
      </c>
    </row>
    <row r="16" customFormat="false" ht="15" hidden="false" customHeight="false" outlineLevel="0" collapsed="false">
      <c r="A16" s="0" t="s">
        <v>29</v>
      </c>
      <c r="B16" s="5" t="n">
        <v>3</v>
      </c>
      <c r="C16" s="0" t="s">
        <v>30</v>
      </c>
    </row>
    <row r="17" customFormat="false" ht="15" hidden="false" customHeight="false" outlineLevel="0" collapsed="false">
      <c r="A17" s="0" t="s">
        <v>31</v>
      </c>
      <c r="B17" s="3" t="n">
        <v>0.05</v>
      </c>
      <c r="C17" s="0" t="s">
        <v>32</v>
      </c>
    </row>
    <row r="18" customFormat="false" ht="15" hidden="false" customHeight="false" outlineLevel="0" collapsed="false">
      <c r="A18" s="0" t="s">
        <v>33</v>
      </c>
      <c r="B18" s="3" t="n">
        <v>0.029</v>
      </c>
      <c r="C18" s="0" t="s">
        <v>34</v>
      </c>
    </row>
    <row r="19" customFormat="false" ht="15" hidden="false" customHeight="false" outlineLevel="0" collapsed="false">
      <c r="A19" s="0" t="s">
        <v>35</v>
      </c>
      <c r="B19" s="4" t="n">
        <v>0.3</v>
      </c>
      <c r="C19" s="0" t="s">
        <v>36</v>
      </c>
    </row>
    <row r="20" customFormat="false" ht="15" hidden="false" customHeight="false" outlineLevel="0" collapsed="false">
      <c r="A20" s="0" t="s">
        <v>37</v>
      </c>
      <c r="B20" s="3" t="n">
        <v>0.92</v>
      </c>
      <c r="C20" s="0" t="s">
        <v>38</v>
      </c>
    </row>
    <row r="23" customFormat="false" ht="15" hidden="false" customHeight="false" outlineLevel="0" collapsed="false">
      <c r="A23" s="1" t="s">
        <v>39</v>
      </c>
      <c r="B23" s="2" t="s">
        <v>40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 t="s">
        <v>41</v>
      </c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 t="s">
        <v>42</v>
      </c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</row>
    <row r="24" customFormat="false" ht="15" hidden="false" customHeight="false" outlineLevel="0" collapsed="false">
      <c r="A24" s="1" t="s">
        <v>43</v>
      </c>
      <c r="B24" s="2" t="s">
        <v>44</v>
      </c>
      <c r="C24" s="2" t="s">
        <v>45</v>
      </c>
      <c r="D24" s="2" t="s">
        <v>46</v>
      </c>
      <c r="E24" s="2" t="s">
        <v>47</v>
      </c>
      <c r="F24" s="2" t="s">
        <v>48</v>
      </c>
      <c r="G24" s="2" t="s">
        <v>49</v>
      </c>
      <c r="H24" s="2" t="s">
        <v>50</v>
      </c>
      <c r="I24" s="2" t="s">
        <v>51</v>
      </c>
      <c r="J24" s="2" t="s">
        <v>52</v>
      </c>
      <c r="K24" s="2" t="s">
        <v>53</v>
      </c>
      <c r="L24" s="2" t="s">
        <v>54</v>
      </c>
      <c r="M24" s="2" t="s">
        <v>55</v>
      </c>
      <c r="N24" s="2" t="s">
        <v>44</v>
      </c>
      <c r="O24" s="2" t="s">
        <v>45</v>
      </c>
      <c r="P24" s="2" t="s">
        <v>46</v>
      </c>
      <c r="Q24" s="2" t="s">
        <v>47</v>
      </c>
      <c r="R24" s="2" t="s">
        <v>48</v>
      </c>
      <c r="S24" s="2" t="s">
        <v>49</v>
      </c>
      <c r="T24" s="2" t="s">
        <v>50</v>
      </c>
      <c r="U24" s="2" t="s">
        <v>51</v>
      </c>
      <c r="V24" s="2" t="s">
        <v>52</v>
      </c>
      <c r="W24" s="2" t="s">
        <v>53</v>
      </c>
      <c r="X24" s="2" t="s">
        <v>54</v>
      </c>
      <c r="Y24" s="2" t="s">
        <v>55</v>
      </c>
      <c r="Z24" s="2" t="s">
        <v>44</v>
      </c>
      <c r="AA24" s="2" t="s">
        <v>45</v>
      </c>
      <c r="AB24" s="2" t="s">
        <v>46</v>
      </c>
      <c r="AC24" s="2" t="s">
        <v>47</v>
      </c>
      <c r="AD24" s="2" t="s">
        <v>48</v>
      </c>
      <c r="AE24" s="2" t="s">
        <v>49</v>
      </c>
      <c r="AF24" s="2" t="s">
        <v>50</v>
      </c>
      <c r="AG24" s="2" t="s">
        <v>51</v>
      </c>
      <c r="AH24" s="2" t="s">
        <v>52</v>
      </c>
      <c r="AI24" s="2" t="s">
        <v>53</v>
      </c>
      <c r="AJ24" s="2" t="s">
        <v>54</v>
      </c>
      <c r="AK24" s="2" t="s">
        <v>55</v>
      </c>
    </row>
    <row r="25" customFormat="false" ht="15" hidden="false" customHeight="false" outlineLevel="0" collapsed="false">
      <c r="A25" s="0" t="s">
        <v>56</v>
      </c>
      <c r="B25" s="6" t="n">
        <v>5</v>
      </c>
      <c r="C25" s="6" t="n">
        <v>10</v>
      </c>
      <c r="D25" s="6" t="n">
        <v>30</v>
      </c>
      <c r="E25" s="6" t="n">
        <v>25</v>
      </c>
      <c r="F25" s="6" t="n">
        <v>30</v>
      </c>
      <c r="G25" s="6" t="n">
        <v>50</v>
      </c>
      <c r="H25" s="6" t="n">
        <v>35</v>
      </c>
      <c r="I25" s="6" t="n">
        <v>35</v>
      </c>
      <c r="J25" s="6" t="n">
        <v>60</v>
      </c>
      <c r="K25" s="6" t="n">
        <v>45</v>
      </c>
      <c r="L25" s="6" t="n">
        <v>50</v>
      </c>
      <c r="M25" s="6" t="n">
        <v>70</v>
      </c>
      <c r="N25" s="6" t="n">
        <v>75</v>
      </c>
      <c r="O25" s="6" t="n">
        <v>80</v>
      </c>
      <c r="P25" s="6" t="n">
        <v>95</v>
      </c>
      <c r="Q25" s="6" t="n">
        <v>85</v>
      </c>
      <c r="R25" s="6" t="n">
        <v>90</v>
      </c>
      <c r="S25" s="6" t="n">
        <v>105</v>
      </c>
      <c r="T25" s="6" t="n">
        <v>95</v>
      </c>
      <c r="U25" s="6" t="n">
        <v>95</v>
      </c>
      <c r="V25" s="6" t="n">
        <v>115</v>
      </c>
      <c r="W25" s="6" t="n">
        <v>105</v>
      </c>
      <c r="X25" s="6" t="n">
        <v>110</v>
      </c>
      <c r="Y25" s="6" t="n">
        <v>125</v>
      </c>
      <c r="Z25" s="6" t="n">
        <v>130</v>
      </c>
      <c r="AA25" s="6" t="n">
        <v>130</v>
      </c>
      <c r="AB25" s="6" t="n">
        <v>150</v>
      </c>
      <c r="AC25" s="6" t="n">
        <v>140</v>
      </c>
      <c r="AD25" s="6" t="n">
        <v>145</v>
      </c>
      <c r="AE25" s="6" t="n">
        <v>160</v>
      </c>
      <c r="AF25" s="6" t="n">
        <v>150</v>
      </c>
      <c r="AG25" s="6" t="n">
        <v>150</v>
      </c>
      <c r="AH25" s="6" t="n">
        <v>170</v>
      </c>
      <c r="AI25" s="6" t="n">
        <v>160</v>
      </c>
      <c r="AJ25" s="6" t="n">
        <v>165</v>
      </c>
      <c r="AK25" s="6" t="n">
        <v>180</v>
      </c>
    </row>
    <row r="26" customFormat="false" ht="15" hidden="false" customHeight="false" outlineLevel="0" collapsed="false">
      <c r="A26" s="0" t="s">
        <v>57</v>
      </c>
      <c r="B26" s="7" t="n">
        <f aca="false">B25</f>
        <v>5</v>
      </c>
      <c r="C26" s="7" t="n">
        <f aca="false">B26*(1-$B$2)+C25</f>
        <v>14.95</v>
      </c>
      <c r="D26" s="7" t="n">
        <f aca="false">C26*(1-$B$2)+D25</f>
        <v>44.8005</v>
      </c>
      <c r="E26" s="7" t="n">
        <f aca="false">D26*(1-$B$2)+E25</f>
        <v>69.352495</v>
      </c>
      <c r="F26" s="7" t="n">
        <f aca="false">E26*(1-$B$2)+F25</f>
        <v>98.65897005</v>
      </c>
      <c r="G26" s="7" t="n">
        <f aca="false">F26*(1-$B$2)+G25</f>
        <v>147.6723803495</v>
      </c>
      <c r="H26" s="7" t="n">
        <f aca="false">G26*(1-$B$2)+H25</f>
        <v>181.195656546005</v>
      </c>
      <c r="I26" s="7" t="n">
        <f aca="false">H26*(1-$B$2)+I25</f>
        <v>214.383699980545</v>
      </c>
      <c r="J26" s="7" t="n">
        <f aca="false">I26*(1-$B$2)+J25</f>
        <v>272.23986298074</v>
      </c>
      <c r="K26" s="7" t="n">
        <f aca="false">J26*(1-$B$2)+K25</f>
        <v>314.517464350932</v>
      </c>
      <c r="L26" s="7" t="n">
        <f aca="false">K26*(1-$B$2)+L25</f>
        <v>361.372289707423</v>
      </c>
      <c r="M26" s="7" t="n">
        <f aca="false">L26*(1-$B$2)+M25</f>
        <v>427.758566810349</v>
      </c>
      <c r="N26" s="7" t="n">
        <f aca="false">M26*(1-$B$2)+N25</f>
        <v>498.480981142245</v>
      </c>
      <c r="O26" s="7" t="n">
        <f aca="false">N26*(1-$B$2)+O25</f>
        <v>573.496171330823</v>
      </c>
      <c r="P26" s="7" t="n">
        <f aca="false">O26*(1-$B$2)+P25</f>
        <v>662.761209617514</v>
      </c>
      <c r="Q26" s="7" t="n">
        <f aca="false">P26*(1-$B$2)+Q25</f>
        <v>741.133597521339</v>
      </c>
      <c r="R26" s="7" t="n">
        <f aca="false">Q26*(1-$B$2)+R25</f>
        <v>823.722261546126</v>
      </c>
      <c r="S26" s="7" t="n">
        <f aca="false">R26*(1-$B$2)+S25</f>
        <v>920.485038930664</v>
      </c>
      <c r="T26" s="7" t="n">
        <f aca="false">S26*(1-$B$2)+T25</f>
        <v>1006.28018854136</v>
      </c>
      <c r="U26" s="7" t="n">
        <f aca="false">T26*(1-$B$2)+U25</f>
        <v>1091.21738665594</v>
      </c>
      <c r="V26" s="7" t="n">
        <f aca="false">U26*(1-$B$2)+V25</f>
        <v>1195.30521278938</v>
      </c>
      <c r="W26" s="7" t="n">
        <f aca="false">V26*(1-$B$2)+W25</f>
        <v>1288.35216066149</v>
      </c>
      <c r="X26" s="7" t="n">
        <f aca="false">W26*(1-$B$2)+X25</f>
        <v>1385.46863905488</v>
      </c>
      <c r="Y26" s="7" t="n">
        <f aca="false">X26*(1-$B$2)+Y25</f>
        <v>1496.61395266433</v>
      </c>
      <c r="Z26" s="7" t="n">
        <f aca="false">Y26*(1-$B$2)+Z25</f>
        <v>1611.64781313768</v>
      </c>
      <c r="AA26" s="7" t="n">
        <f aca="false">Z26*(1-$B$2)+AA25</f>
        <v>1725.53133500631</v>
      </c>
      <c r="AB26" s="7" t="n">
        <f aca="false">AA26*(1-$B$2)+AB25</f>
        <v>1858.27602165624</v>
      </c>
      <c r="AC26" s="7" t="n">
        <f aca="false">AB26*(1-$B$2)+AC25</f>
        <v>1979.69326143968</v>
      </c>
      <c r="AD26" s="7" t="n">
        <f aca="false">AC26*(1-$B$2)+AD25</f>
        <v>2104.89632882528</v>
      </c>
      <c r="AE26" s="7" t="n">
        <f aca="false">AD26*(1-$B$2)+AE25</f>
        <v>2243.84736553703</v>
      </c>
      <c r="AF26" s="7" t="n">
        <f aca="false">AE26*(1-$B$2)+AF25</f>
        <v>2371.40889188166</v>
      </c>
      <c r="AG26" s="7" t="n">
        <f aca="false">AF26*(1-$B$2)+AG25</f>
        <v>2497.69480296284</v>
      </c>
      <c r="AH26" s="7" t="n">
        <f aca="false">AG26*(1-$B$2)+AH25</f>
        <v>2642.71785493322</v>
      </c>
      <c r="AI26" s="7" t="n">
        <f aca="false">AH26*(1-$B$2)+AI25</f>
        <v>2776.29067638388</v>
      </c>
      <c r="AJ26" s="7" t="n">
        <f aca="false">AI26*(1-$B$2)+AJ25</f>
        <v>2913.52776962005</v>
      </c>
      <c r="AK26" s="7" t="n">
        <f aca="false">AJ26*(1-$B$2)+AK25</f>
        <v>3064.39249192385</v>
      </c>
    </row>
    <row r="27" customFormat="false" ht="15" hidden="false" customHeight="false" outlineLevel="0" collapsed="false">
      <c r="A27" s="0" t="s">
        <v>58</v>
      </c>
      <c r="B27" s="5" t="n">
        <v>0</v>
      </c>
      <c r="C27" s="5" t="n">
        <v>0</v>
      </c>
      <c r="D27" s="5" t="n">
        <v>1</v>
      </c>
      <c r="E27" s="5" t="n">
        <v>0</v>
      </c>
      <c r="F27" s="5" t="n">
        <v>0</v>
      </c>
      <c r="G27" s="5" t="n">
        <v>1</v>
      </c>
      <c r="H27" s="5" t="n">
        <v>0</v>
      </c>
      <c r="I27" s="5" t="n">
        <v>0</v>
      </c>
      <c r="J27" s="5" t="n">
        <v>1</v>
      </c>
      <c r="K27" s="5" t="n">
        <v>0</v>
      </c>
      <c r="L27" s="5" t="n">
        <v>0</v>
      </c>
      <c r="M27" s="5" t="n">
        <v>1</v>
      </c>
      <c r="N27" s="5" t="n">
        <v>0</v>
      </c>
      <c r="O27" s="5" t="n">
        <v>0</v>
      </c>
      <c r="P27" s="5" t="n">
        <v>1</v>
      </c>
      <c r="Q27" s="5" t="n">
        <v>0</v>
      </c>
      <c r="R27" s="5" t="n">
        <v>0</v>
      </c>
      <c r="S27" s="5" t="n">
        <v>1</v>
      </c>
      <c r="T27" s="5" t="n">
        <v>0</v>
      </c>
      <c r="U27" s="5" t="n">
        <v>0</v>
      </c>
      <c r="V27" s="5" t="n">
        <v>1</v>
      </c>
      <c r="W27" s="5" t="n">
        <v>0</v>
      </c>
      <c r="X27" s="5" t="n">
        <v>0</v>
      </c>
      <c r="Y27" s="5" t="n">
        <v>1</v>
      </c>
      <c r="Z27" s="5" t="n">
        <v>0</v>
      </c>
      <c r="AA27" s="5" t="n">
        <v>0</v>
      </c>
      <c r="AB27" s="5" t="n">
        <v>1</v>
      </c>
      <c r="AC27" s="5" t="n">
        <v>0</v>
      </c>
      <c r="AD27" s="5" t="n">
        <v>0</v>
      </c>
      <c r="AE27" s="5" t="n">
        <v>1</v>
      </c>
      <c r="AF27" s="5" t="n">
        <v>0</v>
      </c>
      <c r="AG27" s="5" t="n">
        <v>0</v>
      </c>
      <c r="AH27" s="5" t="n">
        <v>1</v>
      </c>
      <c r="AI27" s="5" t="n">
        <v>0</v>
      </c>
      <c r="AJ27" s="5" t="n">
        <v>0</v>
      </c>
      <c r="AK27" s="5" t="n">
        <v>1</v>
      </c>
    </row>
    <row r="28" customFormat="false" ht="15" hidden="false" customHeight="false" outlineLevel="0" collapsed="false">
      <c r="A28" s="0" t="s">
        <v>59</v>
      </c>
      <c r="B28" s="7" t="n">
        <f aca="false">B26*$B$7*(1-$B$8)*B27</f>
        <v>0</v>
      </c>
      <c r="C28" s="7" t="n">
        <f aca="false">C26*$B$7*(1-$B$8)*C27</f>
        <v>0</v>
      </c>
      <c r="D28" s="7" t="n">
        <f aca="false">D26*$B$7*(1-$B$8)*D27</f>
        <v>1.523217</v>
      </c>
      <c r="E28" s="7" t="n">
        <f aca="false">E26*$B$7*(1-$B$8)*E27</f>
        <v>0</v>
      </c>
      <c r="F28" s="7" t="n">
        <f aca="false">F26*$B$7*(1-$B$8)*F27</f>
        <v>0</v>
      </c>
      <c r="G28" s="7" t="n">
        <f aca="false">G26*$B$7*(1-$B$8)*G27</f>
        <v>5.020860931883</v>
      </c>
      <c r="H28" s="7" t="n">
        <f aca="false">H26*$B$7*(1-$B$8)*H27</f>
        <v>0</v>
      </c>
      <c r="I28" s="7" t="n">
        <f aca="false">I26*$B$7*(1-$B$8)*I27</f>
        <v>0</v>
      </c>
      <c r="J28" s="7" t="n">
        <f aca="false">J26*$B$7*(1-$B$8)*J27</f>
        <v>9.25615534134514</v>
      </c>
      <c r="K28" s="7" t="n">
        <f aca="false">K26*$B$7*(1-$B$8)*K27</f>
        <v>0</v>
      </c>
      <c r="L28" s="7" t="n">
        <f aca="false">L26*$B$7*(1-$B$8)*L27</f>
        <v>0</v>
      </c>
      <c r="M28" s="7" t="n">
        <f aca="false">M26*$B$7*(1-$B$8)*M27</f>
        <v>14.5437912715519</v>
      </c>
      <c r="N28" s="7" t="n">
        <f aca="false">N26*$B$7*(1-$B$8)*N27</f>
        <v>0</v>
      </c>
      <c r="O28" s="7" t="n">
        <f aca="false">O26*$B$7*(1-$B$8)*O27</f>
        <v>0</v>
      </c>
      <c r="P28" s="7" t="n">
        <f aca="false">P26*$B$7*(1-$B$8)*P27</f>
        <v>22.5338811269955</v>
      </c>
      <c r="Q28" s="7" t="n">
        <f aca="false">Q26*$B$7*(1-$B$8)*Q27</f>
        <v>0</v>
      </c>
      <c r="R28" s="7" t="n">
        <f aca="false">R26*$B$7*(1-$B$8)*R27</f>
        <v>0</v>
      </c>
      <c r="S28" s="7" t="n">
        <f aca="false">S26*$B$7*(1-$B$8)*S27</f>
        <v>31.2964913236426</v>
      </c>
      <c r="T28" s="7" t="n">
        <f aca="false">T26*$B$7*(1-$B$8)*T27</f>
        <v>0</v>
      </c>
      <c r="U28" s="7" t="n">
        <f aca="false">U26*$B$7*(1-$B$8)*U27</f>
        <v>0</v>
      </c>
      <c r="V28" s="7" t="n">
        <f aca="false">V26*$B$7*(1-$B$8)*V27</f>
        <v>40.6403772348391</v>
      </c>
      <c r="W28" s="7" t="n">
        <f aca="false">W26*$B$7*(1-$B$8)*W27</f>
        <v>0</v>
      </c>
      <c r="X28" s="7" t="n">
        <f aca="false">X26*$B$7*(1-$B$8)*X27</f>
        <v>0</v>
      </c>
      <c r="Y28" s="7" t="n">
        <f aca="false">Y26*$B$7*(1-$B$8)*Y27</f>
        <v>50.8848743905871</v>
      </c>
      <c r="Z28" s="7" t="n">
        <f aca="false">Z26*$B$7*(1-$B$8)*Z27</f>
        <v>0</v>
      </c>
      <c r="AA28" s="7" t="n">
        <f aca="false">AA26*$B$7*(1-$B$8)*AA27</f>
        <v>0</v>
      </c>
      <c r="AB28" s="7" t="n">
        <f aca="false">AB26*$B$7*(1-$B$8)*AB27</f>
        <v>63.1813847363123</v>
      </c>
      <c r="AC28" s="7" t="n">
        <f aca="false">AC26*$B$7*(1-$B$8)*AC27</f>
        <v>0</v>
      </c>
      <c r="AD28" s="7" t="n">
        <f aca="false">AD26*$B$7*(1-$B$8)*AD27</f>
        <v>0</v>
      </c>
      <c r="AE28" s="7" t="n">
        <f aca="false">AE26*$B$7*(1-$B$8)*AE27</f>
        <v>76.2908104282591</v>
      </c>
      <c r="AF28" s="7" t="n">
        <f aca="false">AF26*$B$7*(1-$B$8)*AF27</f>
        <v>0</v>
      </c>
      <c r="AG28" s="7" t="n">
        <f aca="false">AG26*$B$7*(1-$B$8)*AG27</f>
        <v>0</v>
      </c>
      <c r="AH28" s="7" t="n">
        <f aca="false">AH26*$B$7*(1-$B$8)*AH27</f>
        <v>89.8524070677294</v>
      </c>
      <c r="AI28" s="7" t="n">
        <f aca="false">AI26*$B$7*(1-$B$8)*AI27</f>
        <v>0</v>
      </c>
      <c r="AJ28" s="7" t="n">
        <f aca="false">AJ26*$B$7*(1-$B$8)*AJ27</f>
        <v>0</v>
      </c>
      <c r="AK28" s="7" t="n">
        <f aca="false">AK26*$B$7*(1-$B$8)*AK27</f>
        <v>104.189344725411</v>
      </c>
    </row>
    <row r="29" customFormat="false" ht="15" hidden="false" customHeight="false" outlineLevel="0" collapsed="false">
      <c r="A29" s="0" t="s">
        <v>60</v>
      </c>
      <c r="B29" s="7" t="n">
        <f aca="false">B26*$B$7*$B$8*B27</f>
        <v>0</v>
      </c>
      <c r="C29" s="7" t="n">
        <f aca="false">C26*$B$7*$B$8*C27</f>
        <v>0</v>
      </c>
      <c r="D29" s="7" t="n">
        <f aca="false">D26*$B$7*$B$8*D27</f>
        <v>0.268803</v>
      </c>
      <c r="E29" s="7" t="n">
        <f aca="false">E26*$B$7*$B$8*E27</f>
        <v>0</v>
      </c>
      <c r="F29" s="7" t="n">
        <f aca="false">F26*$B$7*$B$8*F27</f>
        <v>0</v>
      </c>
      <c r="G29" s="7" t="n">
        <f aca="false">G26*$B$7*$B$8*G27</f>
        <v>0.886034282097</v>
      </c>
      <c r="H29" s="7" t="n">
        <f aca="false">H26*$B$7*$B$8*H27</f>
        <v>0</v>
      </c>
      <c r="I29" s="7" t="n">
        <f aca="false">I26*$B$7*$B$8*I27</f>
        <v>0</v>
      </c>
      <c r="J29" s="7" t="n">
        <f aca="false">J26*$B$7*$B$8*J27</f>
        <v>1.63343917788444</v>
      </c>
      <c r="K29" s="7" t="n">
        <f aca="false">K26*$B$7*$B$8*K27</f>
        <v>0</v>
      </c>
      <c r="L29" s="7" t="n">
        <f aca="false">L26*$B$7*$B$8*L27</f>
        <v>0</v>
      </c>
      <c r="M29" s="7" t="n">
        <f aca="false">M26*$B$7*$B$8*M27</f>
        <v>2.56655140086209</v>
      </c>
      <c r="N29" s="7" t="n">
        <f aca="false">N26*$B$7*$B$8*N27</f>
        <v>0</v>
      </c>
      <c r="O29" s="7" t="n">
        <f aca="false">O26*$B$7*$B$8*O27</f>
        <v>0</v>
      </c>
      <c r="P29" s="7" t="n">
        <f aca="false">P26*$B$7*$B$8*P27</f>
        <v>3.97656725770509</v>
      </c>
      <c r="Q29" s="7" t="n">
        <f aca="false">Q26*$B$7*$B$8*Q27</f>
        <v>0</v>
      </c>
      <c r="R29" s="7" t="n">
        <f aca="false">R26*$B$7*$B$8*R27</f>
        <v>0</v>
      </c>
      <c r="S29" s="7" t="n">
        <f aca="false">S26*$B$7*$B$8*S27</f>
        <v>5.52291023358399</v>
      </c>
      <c r="T29" s="7" t="n">
        <f aca="false">T26*$B$7*$B$8*T27</f>
        <v>0</v>
      </c>
      <c r="U29" s="7" t="n">
        <f aca="false">U26*$B$7*$B$8*U27</f>
        <v>0</v>
      </c>
      <c r="V29" s="7" t="n">
        <f aca="false">V26*$B$7*$B$8*V27</f>
        <v>7.17183127673631</v>
      </c>
      <c r="W29" s="7" t="n">
        <f aca="false">W26*$B$7*$B$8*W27</f>
        <v>0</v>
      </c>
      <c r="X29" s="7" t="n">
        <f aca="false">X26*$B$7*$B$8*X27</f>
        <v>0</v>
      </c>
      <c r="Y29" s="7" t="n">
        <f aca="false">Y26*$B$7*$B$8*Y27</f>
        <v>8.97968371598596</v>
      </c>
      <c r="Z29" s="7" t="n">
        <f aca="false">Z26*$B$7*$B$8*Z27</f>
        <v>0</v>
      </c>
      <c r="AA29" s="7" t="n">
        <f aca="false">AA26*$B$7*$B$8*AA27</f>
        <v>0</v>
      </c>
      <c r="AB29" s="7" t="n">
        <f aca="false">AB26*$B$7*$B$8*AB27</f>
        <v>11.1496561299375</v>
      </c>
      <c r="AC29" s="7" t="n">
        <f aca="false">AC26*$B$7*$B$8*AC27</f>
        <v>0</v>
      </c>
      <c r="AD29" s="7" t="n">
        <f aca="false">AD26*$B$7*$B$8*AD27</f>
        <v>0</v>
      </c>
      <c r="AE29" s="7" t="n">
        <f aca="false">AE26*$B$7*$B$8*AE27</f>
        <v>13.4630841932222</v>
      </c>
      <c r="AF29" s="7" t="n">
        <f aca="false">AF26*$B$7*$B$8*AF27</f>
        <v>0</v>
      </c>
      <c r="AG29" s="7" t="n">
        <f aca="false">AG26*$B$7*$B$8*AG27</f>
        <v>0</v>
      </c>
      <c r="AH29" s="7" t="n">
        <f aca="false">AH26*$B$7*$B$8*AH27</f>
        <v>15.8563071295993</v>
      </c>
      <c r="AI29" s="7" t="n">
        <f aca="false">AI26*$B$7*$B$8*AI27</f>
        <v>0</v>
      </c>
      <c r="AJ29" s="7" t="n">
        <f aca="false">AJ26*$B$7*$B$8*AJ27</f>
        <v>0</v>
      </c>
      <c r="AK29" s="7" t="n">
        <f aca="false">AK26*$B$7*$B$8*AK27</f>
        <v>18.3863549515431</v>
      </c>
    </row>
    <row r="30" customFormat="false" ht="15" hidden="false" customHeight="false" outlineLevel="0" collapsed="false">
      <c r="A30" s="0" t="s">
        <v>61</v>
      </c>
      <c r="B30" s="8" t="n">
        <f aca="false">B28*$B$5+B29*$B$6</f>
        <v>0</v>
      </c>
      <c r="C30" s="8" t="n">
        <f aca="false">C28*$B$5+C29*$B$6</f>
        <v>0</v>
      </c>
      <c r="D30" s="8" t="n">
        <f aca="false">D28*$B$5+D29*$B$6</f>
        <v>227.58654</v>
      </c>
      <c r="E30" s="8" t="n">
        <f aca="false">E28*$B$5+E29*$B$6</f>
        <v>0</v>
      </c>
      <c r="F30" s="8" t="n">
        <f aca="false">F28*$B$5+F29*$B$6</f>
        <v>0</v>
      </c>
      <c r="G30" s="8" t="n">
        <f aca="false">G28*$B$5+G29*$B$6</f>
        <v>750.17569217546</v>
      </c>
      <c r="H30" s="8" t="n">
        <f aca="false">H28*$B$5+H29*$B$6</f>
        <v>0</v>
      </c>
      <c r="I30" s="8" t="n">
        <f aca="false">I28*$B$5+I29*$B$6</f>
        <v>0</v>
      </c>
      <c r="J30" s="8" t="n">
        <f aca="false">J28*$B$5+J29*$B$6</f>
        <v>1382.97850394216</v>
      </c>
      <c r="K30" s="8" t="n">
        <f aca="false">K28*$B$5+K29*$B$6</f>
        <v>0</v>
      </c>
      <c r="L30" s="8" t="n">
        <f aca="false">L28*$B$5+L29*$B$6</f>
        <v>0</v>
      </c>
      <c r="M30" s="8" t="n">
        <f aca="false">M28*$B$5+M29*$B$6</f>
        <v>2173.01351939657</v>
      </c>
      <c r="N30" s="8" t="n">
        <f aca="false">N28*$B$5+N29*$B$6</f>
        <v>0</v>
      </c>
      <c r="O30" s="8" t="n">
        <f aca="false">O28*$B$5+O29*$B$6</f>
        <v>0</v>
      </c>
      <c r="P30" s="8" t="n">
        <f aca="false">P28*$B$5+P29*$B$6</f>
        <v>3366.82694485697</v>
      </c>
      <c r="Q30" s="8" t="n">
        <f aca="false">Q28*$B$5+Q29*$B$6</f>
        <v>0</v>
      </c>
      <c r="R30" s="8" t="n">
        <f aca="false">R28*$B$5+R29*$B$6</f>
        <v>0</v>
      </c>
      <c r="S30" s="8" t="n">
        <f aca="false">S28*$B$5+S29*$B$6</f>
        <v>4676.06399776778</v>
      </c>
      <c r="T30" s="8" t="n">
        <f aca="false">T28*$B$5+T29*$B$6</f>
        <v>0</v>
      </c>
      <c r="U30" s="8" t="n">
        <f aca="false">U28*$B$5+U29*$B$6</f>
        <v>0</v>
      </c>
      <c r="V30" s="8" t="n">
        <f aca="false">V28*$B$5+V29*$B$6</f>
        <v>6072.15048097008</v>
      </c>
      <c r="W30" s="8" t="n">
        <f aca="false">W28*$B$5+W29*$B$6</f>
        <v>0</v>
      </c>
      <c r="X30" s="8" t="n">
        <f aca="false">X28*$B$5+X29*$B$6</f>
        <v>0</v>
      </c>
      <c r="Y30" s="8" t="n">
        <f aca="false">Y28*$B$5+Y29*$B$6</f>
        <v>7602.79887953478</v>
      </c>
      <c r="Z30" s="8" t="n">
        <f aca="false">Z28*$B$5+Z29*$B$6</f>
        <v>0</v>
      </c>
      <c r="AA30" s="8" t="n">
        <f aca="false">AA28*$B$5+AA29*$B$6</f>
        <v>0</v>
      </c>
      <c r="AB30" s="8" t="n">
        <f aca="false">AB28*$B$5+AB29*$B$6</f>
        <v>9440.04219001372</v>
      </c>
      <c r="AC30" s="8" t="n">
        <f aca="false">AC28*$B$5+AC29*$B$6</f>
        <v>0</v>
      </c>
      <c r="AD30" s="8" t="n">
        <f aca="false">AD28*$B$5+AD29*$B$6</f>
        <v>0</v>
      </c>
      <c r="AE30" s="8" t="n">
        <f aca="false">AE28*$B$5+AE29*$B$6</f>
        <v>11398.7446169281</v>
      </c>
      <c r="AF30" s="8" t="n">
        <f aca="false">AF28*$B$5+AF29*$B$6</f>
        <v>0</v>
      </c>
      <c r="AG30" s="8" t="n">
        <f aca="false">AG28*$B$5+AG29*$B$6</f>
        <v>0</v>
      </c>
      <c r="AH30" s="8" t="n">
        <f aca="false">AH28*$B$5+AH29*$B$6</f>
        <v>13425.0067030607</v>
      </c>
      <c r="AI30" s="8" t="n">
        <f aca="false">AI28*$B$5+AI29*$B$6</f>
        <v>0</v>
      </c>
      <c r="AJ30" s="8" t="n">
        <f aca="false">AJ28*$B$5+AJ29*$B$6</f>
        <v>0</v>
      </c>
      <c r="AK30" s="8" t="n">
        <f aca="false">AK28*$B$5+AK29*$B$6</f>
        <v>15567.1138589731</v>
      </c>
    </row>
    <row r="31" customFormat="false" ht="15" hidden="false" customHeight="false" outlineLevel="0" collapsed="false">
      <c r="A31" s="1" t="s">
        <v>62</v>
      </c>
      <c r="B31" s="9" t="n">
        <f aca="false">(B28+B29)*$B$9+$B$10*B27</f>
        <v>0</v>
      </c>
      <c r="C31" s="9" t="n">
        <f aca="false">(C28+C29)*$B$9+$B$10*C27</f>
        <v>0</v>
      </c>
      <c r="D31" s="9" t="n">
        <f aca="false">(D28+D29)*$B$9+$B$10*D27</f>
        <v>2.268803</v>
      </c>
      <c r="E31" s="9" t="n">
        <f aca="false">(E28+E29)*$B$9+$B$10*E27</f>
        <v>0</v>
      </c>
      <c r="F31" s="9" t="n">
        <f aca="false">(F28+F29)*$B$9+$B$10*F27</f>
        <v>0</v>
      </c>
      <c r="G31" s="9" t="n">
        <f aca="false">(G28+G29)*$B$9+$B$10*G27</f>
        <v>2.886034282097</v>
      </c>
      <c r="H31" s="9" t="n">
        <f aca="false">(H28+H29)*$B$9+$B$10*H27</f>
        <v>0</v>
      </c>
      <c r="I31" s="9" t="n">
        <f aca="false">(I28+I29)*$B$9+$B$10*I27</f>
        <v>0</v>
      </c>
      <c r="J31" s="9" t="n">
        <f aca="false">(J28+J29)*$B$9+$B$10*J27</f>
        <v>3.63343917788444</v>
      </c>
      <c r="K31" s="9" t="n">
        <f aca="false">(K28+K29)*$B$9+$B$10*K27</f>
        <v>0</v>
      </c>
      <c r="L31" s="9" t="n">
        <f aca="false">(L28+L29)*$B$9+$B$10*L27</f>
        <v>0</v>
      </c>
      <c r="M31" s="9" t="n">
        <f aca="false">(M28+M29)*$B$9+$B$10*M27</f>
        <v>4.56655140086209</v>
      </c>
      <c r="N31" s="9" t="n">
        <f aca="false">(N28+N29)*$B$9+$B$10*N27</f>
        <v>0</v>
      </c>
      <c r="O31" s="9" t="n">
        <f aca="false">(O28+O29)*$B$9+$B$10*O27</f>
        <v>0</v>
      </c>
      <c r="P31" s="9" t="n">
        <f aca="false">(P28+P29)*$B$9+$B$10*P27</f>
        <v>5.97656725770509</v>
      </c>
      <c r="Q31" s="9" t="n">
        <f aca="false">(Q28+Q29)*$B$9+$B$10*Q27</f>
        <v>0</v>
      </c>
      <c r="R31" s="9" t="n">
        <f aca="false">(R28+R29)*$B$9+$B$10*R27</f>
        <v>0</v>
      </c>
      <c r="S31" s="9" t="n">
        <f aca="false">(S28+S29)*$B$9+$B$10*S27</f>
        <v>7.52291023358399</v>
      </c>
      <c r="T31" s="9" t="n">
        <f aca="false">(T28+T29)*$B$9+$B$10*T27</f>
        <v>0</v>
      </c>
      <c r="U31" s="9" t="n">
        <f aca="false">(U28+U29)*$B$9+$B$10*U27</f>
        <v>0</v>
      </c>
      <c r="V31" s="9" t="n">
        <f aca="false">(V28+V29)*$B$9+$B$10*V27</f>
        <v>9.17183127673631</v>
      </c>
      <c r="W31" s="9" t="n">
        <f aca="false">(W28+W29)*$B$9+$B$10*W27</f>
        <v>0</v>
      </c>
      <c r="X31" s="9" t="n">
        <f aca="false">(X28+X29)*$B$9+$B$10*X27</f>
        <v>0</v>
      </c>
      <c r="Y31" s="9" t="n">
        <f aca="false">(Y28+Y29)*$B$9+$B$10*Y27</f>
        <v>10.979683715986</v>
      </c>
      <c r="Z31" s="9" t="n">
        <f aca="false">(Z28+Z29)*$B$9+$B$10*Z27</f>
        <v>0</v>
      </c>
      <c r="AA31" s="9" t="n">
        <f aca="false">(AA28+AA29)*$B$9+$B$10*AA27</f>
        <v>0</v>
      </c>
      <c r="AB31" s="9" t="n">
        <f aca="false">(AB28+AB29)*$B$9+$B$10*AB27</f>
        <v>13.1496561299375</v>
      </c>
      <c r="AC31" s="9" t="n">
        <f aca="false">(AC28+AC29)*$B$9+$B$10*AC27</f>
        <v>0</v>
      </c>
      <c r="AD31" s="9" t="n">
        <f aca="false">(AD28+AD29)*$B$9+$B$10*AD27</f>
        <v>0</v>
      </c>
      <c r="AE31" s="9" t="n">
        <f aca="false">(AE28+AE29)*$B$9+$B$10*AE27</f>
        <v>15.4630841932222</v>
      </c>
      <c r="AF31" s="9" t="n">
        <f aca="false">(AF28+AF29)*$B$9+$B$10*AF27</f>
        <v>0</v>
      </c>
      <c r="AG31" s="9" t="n">
        <f aca="false">(AG28+AG29)*$B$9+$B$10*AG27</f>
        <v>0</v>
      </c>
      <c r="AH31" s="9" t="n">
        <f aca="false">(AH28+AH29)*$B$9+$B$10*AH27</f>
        <v>17.8563071295993</v>
      </c>
      <c r="AI31" s="9" t="n">
        <f aca="false">(AI28+AI29)*$B$9+$B$10*AI27</f>
        <v>0</v>
      </c>
      <c r="AJ31" s="9" t="n">
        <f aca="false">(AJ28+AJ29)*$B$9+$B$10*AJ27</f>
        <v>0</v>
      </c>
      <c r="AK31" s="9" t="n">
        <f aca="false">(AK28+AK29)*$B$9+$B$10*AK27</f>
        <v>20.3863549515431</v>
      </c>
    </row>
    <row r="32" customFormat="false" ht="15" hidden="false" customHeight="false" outlineLevel="0" collapsed="false">
      <c r="A32" s="0" t="s">
        <v>63</v>
      </c>
      <c r="B32" s="8" t="n">
        <f aca="false">B31*(1-$B$15)*$B$3</f>
        <v>0</v>
      </c>
      <c r="C32" s="8" t="n">
        <f aca="false">C31*(1-$B$15)*$B$3</f>
        <v>0</v>
      </c>
      <c r="D32" s="8" t="n">
        <f aca="false">D31*(1-$B$15)*$B$3</f>
        <v>6239.20825</v>
      </c>
      <c r="E32" s="8" t="n">
        <f aca="false">E31*(1-$B$15)*$B$3</f>
        <v>0</v>
      </c>
      <c r="F32" s="8" t="n">
        <f aca="false">F31*(1-$B$15)*$B$3</f>
        <v>0</v>
      </c>
      <c r="G32" s="8" t="n">
        <f aca="false">G31*(1-$B$15)*$B$3</f>
        <v>7936.59427576675</v>
      </c>
      <c r="H32" s="8" t="n">
        <f aca="false">H31*(1-$B$15)*$B$3</f>
        <v>0</v>
      </c>
      <c r="I32" s="8" t="n">
        <f aca="false">I31*(1-$B$15)*$B$3</f>
        <v>0</v>
      </c>
      <c r="J32" s="8" t="n">
        <f aca="false">J31*(1-$B$15)*$B$3</f>
        <v>9991.9577391822</v>
      </c>
      <c r="K32" s="8" t="n">
        <f aca="false">K31*(1-$B$15)*$B$3</f>
        <v>0</v>
      </c>
      <c r="L32" s="8" t="n">
        <f aca="false">L31*(1-$B$15)*$B$3</f>
        <v>0</v>
      </c>
      <c r="M32" s="8" t="n">
        <f aca="false">M31*(1-$B$15)*$B$3</f>
        <v>12558.0163523708</v>
      </c>
      <c r="N32" s="8" t="n">
        <f aca="false">N31*(1-$B$15)*$B$3</f>
        <v>0</v>
      </c>
      <c r="O32" s="8" t="n">
        <f aca="false">O31*(1-$B$15)*$B$3</f>
        <v>0</v>
      </c>
      <c r="P32" s="8" t="n">
        <f aca="false">P31*(1-$B$15)*$B$3</f>
        <v>16435.559958689</v>
      </c>
      <c r="Q32" s="8" t="n">
        <f aca="false">Q31*(1-$B$15)*$B$3</f>
        <v>0</v>
      </c>
      <c r="R32" s="8" t="n">
        <f aca="false">R31*(1-$B$15)*$B$3</f>
        <v>0</v>
      </c>
      <c r="S32" s="8" t="n">
        <f aca="false">S31*(1-$B$15)*$B$3</f>
        <v>20688.003142356</v>
      </c>
      <c r="T32" s="8" t="n">
        <f aca="false">T31*(1-$B$15)*$B$3</f>
        <v>0</v>
      </c>
      <c r="U32" s="8" t="n">
        <f aca="false">U31*(1-$B$15)*$B$3</f>
        <v>0</v>
      </c>
      <c r="V32" s="8" t="n">
        <f aca="false">V31*(1-$B$15)*$B$3</f>
        <v>25222.5360110248</v>
      </c>
      <c r="W32" s="8" t="n">
        <f aca="false">W31*(1-$B$15)*$B$3</f>
        <v>0</v>
      </c>
      <c r="X32" s="8" t="n">
        <f aca="false">X31*(1-$B$15)*$B$3</f>
        <v>0</v>
      </c>
      <c r="Y32" s="8" t="n">
        <f aca="false">Y31*(1-$B$15)*$B$3</f>
        <v>30194.1302189614</v>
      </c>
      <c r="Z32" s="8" t="n">
        <f aca="false">Z31*(1-$B$15)*$B$3</f>
        <v>0</v>
      </c>
      <c r="AA32" s="8" t="n">
        <f aca="false">AA31*(1-$B$15)*$B$3</f>
        <v>0</v>
      </c>
      <c r="AB32" s="8" t="n">
        <f aca="false">AB31*(1-$B$15)*$B$3</f>
        <v>36161.554357328</v>
      </c>
      <c r="AC32" s="8" t="n">
        <f aca="false">AC31*(1-$B$15)*$B$3</f>
        <v>0</v>
      </c>
      <c r="AD32" s="8" t="n">
        <f aca="false">AD31*(1-$B$15)*$B$3</f>
        <v>0</v>
      </c>
      <c r="AE32" s="8" t="n">
        <f aca="false">AE31*(1-$B$15)*$B$3</f>
        <v>42523.481531361</v>
      </c>
      <c r="AF32" s="8" t="n">
        <f aca="false">AF31*(1-$B$15)*$B$3</f>
        <v>0</v>
      </c>
      <c r="AG32" s="8" t="n">
        <f aca="false">AG31*(1-$B$15)*$B$3</f>
        <v>0</v>
      </c>
      <c r="AH32" s="8" t="n">
        <f aca="false">AH31*(1-$B$15)*$B$3</f>
        <v>49104.8446063981</v>
      </c>
      <c r="AI32" s="8" t="n">
        <f aca="false">AI31*(1-$B$15)*$B$3</f>
        <v>0</v>
      </c>
      <c r="AJ32" s="8" t="n">
        <f aca="false">AJ31*(1-$B$15)*$B$3</f>
        <v>0</v>
      </c>
      <c r="AK32" s="8" t="n">
        <f aca="false">AK31*(1-$B$15)*$B$3</f>
        <v>56062.4761167435</v>
      </c>
    </row>
    <row r="33" customFormat="false" ht="15" hidden="false" customHeight="false" outlineLevel="0" collapsed="false">
      <c r="A33" s="0" t="s">
        <v>64</v>
      </c>
      <c r="B33" s="8" t="n">
        <f aca="false">SUMPRODUCT((COLUMN($B$31:B31)&gt;=COLUMN(B31)-$B$16+1)*$B$31:B31)*$B$15*$B$3*(1+$B$17)/$B$16</f>
        <v>0</v>
      </c>
      <c r="C33" s="8" t="n">
        <f aca="false">SUMPRODUCT((COLUMN($B$31:C31)&gt;=COLUMN(C31)-$B$16+1)*$B$31:C31)*$B$15*$B$3*(1+$B$17)/$B$16</f>
        <v>0</v>
      </c>
      <c r="D33" s="8" t="n">
        <f aca="false">SUMPRODUCT((COLUMN($B$31:D31)&gt;=COLUMN(D31)-$B$16+1)*$B$31:D31)*$B$15*$B$3*(1+$B$17)/$B$16</f>
        <v>1786.6823625</v>
      </c>
      <c r="E33" s="8" t="n">
        <f aca="false">SUMPRODUCT((COLUMN($B$31:E31)&gt;=COLUMN(E31)-$B$16+1)*$B$31:E31)*$B$15*$B$3*(1+$B$17)/$B$16</f>
        <v>1786.6823625</v>
      </c>
      <c r="F33" s="8" t="n">
        <f aca="false">SUMPRODUCT((COLUMN($B$31:F31)&gt;=COLUMN(F31)-$B$16+1)*$B$31:F31)*$B$15*$B$3*(1+$B$17)/$B$16</f>
        <v>1786.6823625</v>
      </c>
      <c r="G33" s="8" t="n">
        <f aca="false">SUMPRODUCT((COLUMN($B$31:G31)&gt;=COLUMN(G31)-$B$16+1)*$B$31:G31)*$B$15*$B$3*(1+$B$17)/$B$16</f>
        <v>2272.75199715139</v>
      </c>
      <c r="H33" s="8" t="n">
        <f aca="false">SUMPRODUCT((COLUMN($B$31:H31)&gt;=COLUMN(H31)-$B$16+1)*$B$31:H31)*$B$15*$B$3*(1+$B$17)/$B$16</f>
        <v>2272.75199715139</v>
      </c>
      <c r="I33" s="8" t="n">
        <f aca="false">SUMPRODUCT((COLUMN($B$31:I31)&gt;=COLUMN(I31)-$B$16+1)*$B$31:I31)*$B$15*$B$3*(1+$B$17)/$B$16</f>
        <v>2272.75199715139</v>
      </c>
      <c r="J33" s="8" t="n">
        <f aca="false">SUMPRODUCT((COLUMN($B$31:J31)&gt;=COLUMN(J31)-$B$16+1)*$B$31:J31)*$B$15*$B$3*(1+$B$17)/$B$16</f>
        <v>2861.333352584</v>
      </c>
      <c r="K33" s="8" t="n">
        <f aca="false">SUMPRODUCT((COLUMN($B$31:K31)&gt;=COLUMN(K31)-$B$16+1)*$B$31:K31)*$B$15*$B$3*(1+$B$17)/$B$16</f>
        <v>2861.333352584</v>
      </c>
      <c r="L33" s="8" t="n">
        <f aca="false">SUMPRODUCT((COLUMN($B$31:L31)&gt;=COLUMN(L31)-$B$16+1)*$B$31:L31)*$B$15*$B$3*(1+$B$17)/$B$16</f>
        <v>2861.333352584</v>
      </c>
      <c r="M33" s="8" t="n">
        <f aca="false">SUMPRODUCT((COLUMN($B$31:M31)&gt;=COLUMN(M31)-$B$16+1)*$B$31:M31)*$B$15*$B$3*(1+$B$17)/$B$16</f>
        <v>3596.1592281789</v>
      </c>
      <c r="N33" s="8" t="n">
        <f aca="false">SUMPRODUCT((COLUMN($B$31:N31)&gt;=COLUMN(N31)-$B$16+1)*$B$31:N31)*$B$15*$B$3*(1+$B$17)/$B$16</f>
        <v>3596.1592281789</v>
      </c>
      <c r="O33" s="8" t="n">
        <f aca="false">SUMPRODUCT((COLUMN($B$31:O31)&gt;=COLUMN(O31)-$B$16+1)*$B$31:O31)*$B$15*$B$3*(1+$B$17)/$B$16</f>
        <v>3596.1592281789</v>
      </c>
      <c r="P33" s="8" t="n">
        <f aca="false">SUMPRODUCT((COLUMN($B$31:P31)&gt;=COLUMN(P31)-$B$16+1)*$B$31:P31)*$B$15*$B$3*(1+$B$17)/$B$16</f>
        <v>4706.54671544276</v>
      </c>
      <c r="Q33" s="8" t="n">
        <f aca="false">SUMPRODUCT((COLUMN($B$31:Q31)&gt;=COLUMN(Q31)-$B$16+1)*$B$31:Q31)*$B$15*$B$3*(1+$B$17)/$B$16</f>
        <v>4706.54671544276</v>
      </c>
      <c r="R33" s="8" t="n">
        <f aca="false">SUMPRODUCT((COLUMN($B$31:R31)&gt;=COLUMN(R31)-$B$16+1)*$B$31:R31)*$B$15*$B$3*(1+$B$17)/$B$16</f>
        <v>4706.54671544276</v>
      </c>
      <c r="S33" s="8" t="n">
        <f aca="false">SUMPRODUCT((COLUMN($B$31:S31)&gt;=COLUMN(S31)-$B$16+1)*$B$31:S31)*$B$15*$B$3*(1+$B$17)/$B$16</f>
        <v>5924.29180894739</v>
      </c>
      <c r="T33" s="8" t="n">
        <f aca="false">SUMPRODUCT((COLUMN($B$31:T31)&gt;=COLUMN(T31)-$B$16+1)*$B$31:T31)*$B$15*$B$3*(1+$B$17)/$B$16</f>
        <v>5924.29180894739</v>
      </c>
      <c r="U33" s="8" t="n">
        <f aca="false">SUMPRODUCT((COLUMN($B$31:U31)&gt;=COLUMN(U31)-$B$16+1)*$B$31:U31)*$B$15*$B$3*(1+$B$17)/$B$16</f>
        <v>5924.29180894739</v>
      </c>
      <c r="V33" s="8" t="n">
        <f aca="false">SUMPRODUCT((COLUMN($B$31:V31)&gt;=COLUMN(V31)-$B$16+1)*$B$31:V31)*$B$15*$B$3*(1+$B$17)/$B$16</f>
        <v>7222.81713042984</v>
      </c>
      <c r="W33" s="8" t="n">
        <f aca="false">SUMPRODUCT((COLUMN($B$31:W31)&gt;=COLUMN(W31)-$B$16+1)*$B$31:W31)*$B$15*$B$3*(1+$B$17)/$B$16</f>
        <v>7222.81713042984</v>
      </c>
      <c r="X33" s="8" t="n">
        <f aca="false">SUMPRODUCT((COLUMN($B$31:X31)&gt;=COLUMN(X31)-$B$16+1)*$B$31:X31)*$B$15*$B$3*(1+$B$17)/$B$16</f>
        <v>7222.81713042984</v>
      </c>
      <c r="Y33" s="8" t="n">
        <f aca="false">SUMPRODUCT((COLUMN($B$31:Y31)&gt;=COLUMN(Y31)-$B$16+1)*$B$31:Y31)*$B$15*$B$3*(1+$B$17)/$B$16</f>
        <v>8646.50092633895</v>
      </c>
      <c r="Z33" s="8" t="n">
        <f aca="false">SUMPRODUCT((COLUMN($B$31:Z31)&gt;=COLUMN(Z31)-$B$16+1)*$B$31:Z31)*$B$15*$B$3*(1+$B$17)/$B$16</f>
        <v>8646.50092633895</v>
      </c>
      <c r="AA33" s="8" t="n">
        <f aca="false">SUMPRODUCT((COLUMN($B$31:AA31)&gt;=COLUMN(AA31)-$B$16+1)*$B$31:AA31)*$B$15*$B$3*(1+$B$17)/$B$16</f>
        <v>8646.50092633895</v>
      </c>
      <c r="AB33" s="8" t="n">
        <f aca="false">SUMPRODUCT((COLUMN($B$31:AB31)&gt;=COLUMN(AB31)-$B$16+1)*$B$31:AB31)*$B$15*$B$3*(1+$B$17)/$B$16</f>
        <v>10355.3542023258</v>
      </c>
      <c r="AC33" s="8" t="n">
        <f aca="false">SUMPRODUCT((COLUMN($B$31:AC31)&gt;=COLUMN(AC31)-$B$16+1)*$B$31:AC31)*$B$15*$B$3*(1+$B$17)/$B$16</f>
        <v>10355.3542023258</v>
      </c>
      <c r="AD33" s="8" t="n">
        <f aca="false">SUMPRODUCT((COLUMN($B$31:AD31)&gt;=COLUMN(AD31)-$B$16+1)*$B$31:AD31)*$B$15*$B$3*(1+$B$17)/$B$16</f>
        <v>10355.3542023258</v>
      </c>
      <c r="AE33" s="8" t="n">
        <f aca="false">SUMPRODUCT((COLUMN($B$31:AE31)&gt;=COLUMN(AE31)-$B$16+1)*$B$31:AE31)*$B$15*$B$3*(1+$B$17)/$B$16</f>
        <v>12177.1788021625</v>
      </c>
      <c r="AF33" s="8" t="n">
        <f aca="false">SUMPRODUCT((COLUMN($B$31:AF31)&gt;=COLUMN(AF31)-$B$16+1)*$B$31:AF31)*$B$15*$B$3*(1+$B$17)/$B$16</f>
        <v>12177.1788021625</v>
      </c>
      <c r="AG33" s="8" t="n">
        <f aca="false">SUMPRODUCT((COLUMN($B$31:AG31)&gt;=COLUMN(AG31)-$B$16+1)*$B$31:AG31)*$B$15*$B$3*(1+$B$17)/$B$16</f>
        <v>12177.1788021625</v>
      </c>
      <c r="AH33" s="8" t="n">
        <f aca="false">SUMPRODUCT((COLUMN($B$31:AH31)&gt;=COLUMN(AH31)-$B$16+1)*$B$31:AH31)*$B$15*$B$3*(1+$B$17)/$B$16</f>
        <v>14061.8418645594</v>
      </c>
      <c r="AI33" s="8" t="n">
        <f aca="false">SUMPRODUCT((COLUMN($B$31:AI31)&gt;=COLUMN(AI31)-$B$16+1)*$B$31:AI31)*$B$15*$B$3*(1+$B$17)/$B$16</f>
        <v>14061.8418645594</v>
      </c>
      <c r="AJ33" s="8" t="n">
        <f aca="false">SUMPRODUCT((COLUMN($B$31:AJ31)&gt;=COLUMN(AJ31)-$B$16+1)*$B$31:AJ31)*$B$15*$B$3*(1+$B$17)/$B$16</f>
        <v>14061.8418645594</v>
      </c>
      <c r="AK33" s="8" t="n">
        <f aca="false">SUMPRODUCT((COLUMN($B$31:AK31)&gt;=COLUMN(AK31)-$B$16+1)*$B$31:AK31)*$B$15*$B$3*(1+$B$17)/$B$16</f>
        <v>16054.2545243402</v>
      </c>
    </row>
    <row r="34" customFormat="false" ht="15" hidden="false" customHeight="false" outlineLevel="0" collapsed="false">
      <c r="A34" s="0" t="s">
        <v>65</v>
      </c>
      <c r="B34" s="8" t="n">
        <f aca="false">B32+B33</f>
        <v>0</v>
      </c>
      <c r="C34" s="8" t="n">
        <f aca="false">C32+C33</f>
        <v>0</v>
      </c>
      <c r="D34" s="8" t="n">
        <f aca="false">D32+D33</f>
        <v>8025.8906125</v>
      </c>
      <c r="E34" s="8" t="n">
        <f aca="false">E32+E33</f>
        <v>1786.6823625</v>
      </c>
      <c r="F34" s="8" t="n">
        <f aca="false">F32+F33</f>
        <v>1786.6823625</v>
      </c>
      <c r="G34" s="8" t="n">
        <f aca="false">G32+G33</f>
        <v>10209.3462729181</v>
      </c>
      <c r="H34" s="8" t="n">
        <f aca="false">H32+H33</f>
        <v>2272.75199715139</v>
      </c>
      <c r="I34" s="8" t="n">
        <f aca="false">I32+I33</f>
        <v>2272.75199715139</v>
      </c>
      <c r="J34" s="8" t="n">
        <f aca="false">J32+J33</f>
        <v>12853.2910917662</v>
      </c>
      <c r="K34" s="8" t="n">
        <f aca="false">K32+K33</f>
        <v>2861.333352584</v>
      </c>
      <c r="L34" s="8" t="n">
        <f aca="false">L32+L33</f>
        <v>2861.333352584</v>
      </c>
      <c r="M34" s="8" t="n">
        <f aca="false">M32+M33</f>
        <v>16154.1755805496</v>
      </c>
      <c r="N34" s="8" t="n">
        <f aca="false">N32+N33</f>
        <v>3596.1592281789</v>
      </c>
      <c r="O34" s="8" t="n">
        <f aca="false">O32+O33</f>
        <v>3596.1592281789</v>
      </c>
      <c r="P34" s="8" t="n">
        <f aca="false">P32+P33</f>
        <v>21142.1066741317</v>
      </c>
      <c r="Q34" s="8" t="n">
        <f aca="false">Q32+Q33</f>
        <v>4706.54671544276</v>
      </c>
      <c r="R34" s="8" t="n">
        <f aca="false">R32+R33</f>
        <v>4706.54671544276</v>
      </c>
      <c r="S34" s="8" t="n">
        <f aca="false">S32+S33</f>
        <v>26612.2949513034</v>
      </c>
      <c r="T34" s="8" t="n">
        <f aca="false">T32+T33</f>
        <v>5924.29180894739</v>
      </c>
      <c r="U34" s="8" t="n">
        <f aca="false">U32+U33</f>
        <v>5924.29180894739</v>
      </c>
      <c r="V34" s="8" t="n">
        <f aca="false">V32+V33</f>
        <v>32445.3531414547</v>
      </c>
      <c r="W34" s="8" t="n">
        <f aca="false">W32+W33</f>
        <v>7222.81713042984</v>
      </c>
      <c r="X34" s="8" t="n">
        <f aca="false">X32+X33</f>
        <v>7222.81713042984</v>
      </c>
      <c r="Y34" s="8" t="n">
        <f aca="false">Y32+Y33</f>
        <v>38840.6311453003</v>
      </c>
      <c r="Z34" s="8" t="n">
        <f aca="false">Z32+Z33</f>
        <v>8646.50092633895</v>
      </c>
      <c r="AA34" s="8" t="n">
        <f aca="false">AA32+AA33</f>
        <v>8646.50092633895</v>
      </c>
      <c r="AB34" s="8" t="n">
        <f aca="false">AB32+AB33</f>
        <v>46516.9085596538</v>
      </c>
      <c r="AC34" s="8" t="n">
        <f aca="false">AC32+AC33</f>
        <v>10355.3542023258</v>
      </c>
      <c r="AD34" s="8" t="n">
        <f aca="false">AD32+AD33</f>
        <v>10355.3542023258</v>
      </c>
      <c r="AE34" s="8" t="n">
        <f aca="false">AE32+AE33</f>
        <v>54700.6603335235</v>
      </c>
      <c r="AF34" s="8" t="n">
        <f aca="false">AF32+AF33</f>
        <v>12177.1788021625</v>
      </c>
      <c r="AG34" s="8" t="n">
        <f aca="false">AG32+AG33</f>
        <v>12177.1788021625</v>
      </c>
      <c r="AH34" s="8" t="n">
        <f aca="false">AH32+AH33</f>
        <v>63166.6864709575</v>
      </c>
      <c r="AI34" s="8" t="n">
        <f aca="false">AI32+AI33</f>
        <v>14061.8418645594</v>
      </c>
      <c r="AJ34" s="8" t="n">
        <f aca="false">AJ32+AJ33</f>
        <v>14061.8418645594</v>
      </c>
      <c r="AK34" s="8" t="n">
        <f aca="false">AK32+AK33</f>
        <v>72116.7306410836</v>
      </c>
    </row>
    <row r="35" customFormat="false" ht="15" hidden="false" customHeight="false" outlineLevel="0" collapsed="false">
      <c r="A35" s="0" t="s">
        <v>66</v>
      </c>
      <c r="B35" s="6" t="n">
        <v>0</v>
      </c>
      <c r="C35" s="6" t="n">
        <v>0</v>
      </c>
      <c r="D35" s="6" t="n">
        <v>0</v>
      </c>
      <c r="E35" s="6" t="n">
        <v>0</v>
      </c>
      <c r="F35" s="6" t="n">
        <v>0</v>
      </c>
      <c r="G35" s="6" t="n">
        <v>0</v>
      </c>
      <c r="H35" s="6" t="n">
        <v>0</v>
      </c>
      <c r="I35" s="6" t="n">
        <v>0</v>
      </c>
      <c r="J35" s="6" t="n">
        <v>1</v>
      </c>
      <c r="K35" s="6" t="n">
        <v>0</v>
      </c>
      <c r="L35" s="6" t="n">
        <v>0</v>
      </c>
      <c r="M35" s="6" t="n">
        <v>1</v>
      </c>
      <c r="N35" s="6" t="n">
        <v>0</v>
      </c>
      <c r="O35" s="6" t="n">
        <v>0</v>
      </c>
      <c r="P35" s="6" t="n">
        <v>2</v>
      </c>
      <c r="Q35" s="6" t="n">
        <v>0</v>
      </c>
      <c r="R35" s="6" t="n">
        <v>0</v>
      </c>
      <c r="S35" s="6" t="n">
        <v>2</v>
      </c>
      <c r="T35" s="6" t="n">
        <v>0</v>
      </c>
      <c r="U35" s="6" t="n">
        <v>0</v>
      </c>
      <c r="V35" s="6" t="n">
        <v>2</v>
      </c>
      <c r="W35" s="6" t="n">
        <v>0</v>
      </c>
      <c r="X35" s="6" t="n">
        <v>0</v>
      </c>
      <c r="Y35" s="6" t="n">
        <v>3</v>
      </c>
      <c r="Z35" s="6" t="n">
        <v>0</v>
      </c>
      <c r="AA35" s="6" t="n">
        <v>0</v>
      </c>
      <c r="AB35" s="6" t="n">
        <v>3</v>
      </c>
      <c r="AC35" s="6" t="n">
        <v>0</v>
      </c>
      <c r="AD35" s="6" t="n">
        <v>0</v>
      </c>
      <c r="AE35" s="6" t="n">
        <v>3</v>
      </c>
      <c r="AF35" s="6" t="n">
        <v>0</v>
      </c>
      <c r="AG35" s="6" t="n">
        <v>0</v>
      </c>
      <c r="AH35" s="6" t="n">
        <v>3</v>
      </c>
      <c r="AI35" s="6" t="n">
        <v>0</v>
      </c>
      <c r="AJ35" s="6" t="n">
        <v>0</v>
      </c>
      <c r="AK35" s="6" t="n">
        <v>3</v>
      </c>
    </row>
    <row r="36" customFormat="false" ht="15" hidden="false" customHeight="false" outlineLevel="0" collapsed="false">
      <c r="A36" s="0" t="s">
        <v>67</v>
      </c>
      <c r="B36" s="7" t="n">
        <f aca="false">B35</f>
        <v>0</v>
      </c>
      <c r="C36" s="7" t="n">
        <f aca="false">B36*(1-$B$12)^(1/12)+C35</f>
        <v>0</v>
      </c>
      <c r="D36" s="7" t="n">
        <f aca="false">C36*(1-$B$12)^(1/12)+D35</f>
        <v>0</v>
      </c>
      <c r="E36" s="7" t="n">
        <f aca="false">D36*(1-$B$12)^(1/12)+E35</f>
        <v>0</v>
      </c>
      <c r="F36" s="7" t="n">
        <f aca="false">E36*(1-$B$12)^(1/12)+F35</f>
        <v>0</v>
      </c>
      <c r="G36" s="7" t="n">
        <f aca="false">F36*(1-$B$12)^(1/12)+G35</f>
        <v>0</v>
      </c>
      <c r="H36" s="7" t="n">
        <f aca="false">G36*(1-$B$12)^(1/12)+H35</f>
        <v>0</v>
      </c>
      <c r="I36" s="7" t="n">
        <f aca="false">H36*(1-$B$12)^(1/12)+I35</f>
        <v>0</v>
      </c>
      <c r="J36" s="7" t="n">
        <f aca="false">I36*(1-$B$12)^(1/12)+J35</f>
        <v>1</v>
      </c>
      <c r="K36" s="7" t="n">
        <f aca="false">J36*(1-$B$12)^(1/12)+K35</f>
        <v>0.991258389045303</v>
      </c>
      <c r="L36" s="7" t="n">
        <f aca="false">K36*(1-$B$12)^(1/12)+L35</f>
        <v>0.98259319385269</v>
      </c>
      <c r="M36" s="7" t="n">
        <f aca="false">L36*(1-$B$12)^(1/12)+M35</f>
        <v>1.9740037464253</v>
      </c>
      <c r="N36" s="7" t="n">
        <f aca="false">M36*(1-$B$12)^(1/12)+N35</f>
        <v>1.95674777365093</v>
      </c>
      <c r="O36" s="7" t="n">
        <f aca="false">N36*(1-$B$12)^(1/12)+O35</f>
        <v>1.93964264587721</v>
      </c>
      <c r="P36" s="7" t="n">
        <f aca="false">O36*(1-$B$12)^(1/12)+P35</f>
        <v>3.92268704447581</v>
      </c>
      <c r="Q36" s="7" t="n">
        <f aca="false">P36*(1-$B$12)^(1/12)+Q35</f>
        <v>3.88839644043597</v>
      </c>
      <c r="R36" s="7" t="n">
        <f aca="false">Q36*(1-$B$12)^(1/12)+R35</f>
        <v>3.85440559151605</v>
      </c>
      <c r="S36" s="7" t="n">
        <f aca="false">R36*(1-$B$12)^(1/12)+S35</f>
        <v>5.82071187737341</v>
      </c>
      <c r="T36" s="7" t="n">
        <f aca="false">S36*(1-$B$12)^(1/12)+T35</f>
        <v>5.76982947866203</v>
      </c>
      <c r="U36" s="7" t="n">
        <f aca="false">T36*(1-$B$12)^(1/12)+U35</f>
        <v>5.71939187408463</v>
      </c>
      <c r="V36" s="7" t="n">
        <f aca="false">U36*(1-$B$12)^(1/12)+V35</f>
        <v>7.66939517542393</v>
      </c>
      <c r="W36" s="7" t="n">
        <f aca="false">V36*(1-$B$12)^(1/12)+W35</f>
        <v>7.60235230654254</v>
      </c>
      <c r="X36" s="7" t="n">
        <f aca="false">W36*(1-$B$12)^(1/12)+X35</f>
        <v>7.53589550033821</v>
      </c>
      <c r="Y36" s="7" t="n">
        <f aca="false">X36*(1-$B$12)^(1/12)+Y35</f>
        <v>10.470019633679</v>
      </c>
      <c r="Z36" s="7" t="n">
        <f aca="false">Y36*(1-$B$12)^(1/12)+Z35</f>
        <v>10.3784947953533</v>
      </c>
      <c r="AA36" s="7" t="n">
        <f aca="false">Z36*(1-$B$12)^(1/12)+AA35</f>
        <v>10.287770031557</v>
      </c>
      <c r="AB36" s="7" t="n">
        <f aca="false">AA36*(1-$B$12)^(1/12)+AB35</f>
        <v>13.1978383483498</v>
      </c>
      <c r="AC36" s="7" t="n">
        <f aca="false">AB36*(1-$B$12)^(1/12)+AC35</f>
        <v>13.0824679800655</v>
      </c>
      <c r="AD36" s="7" t="n">
        <f aca="false">AC36*(1-$B$12)^(1/12)+AD35</f>
        <v>12.9681061346565</v>
      </c>
      <c r="AE36" s="7" t="n">
        <f aca="false">AD36*(1-$B$12)^(1/12)+AE35</f>
        <v>15.8547439960081</v>
      </c>
      <c r="AF36" s="7" t="n">
        <f aca="false">AE36*(1-$B$12)^(1/12)+AF35</f>
        <v>15.7161479922087</v>
      </c>
      <c r="AG36" s="7" t="n">
        <f aca="false">AF36*(1-$B$12)^(1/12)+AG35</f>
        <v>15.5787635407544</v>
      </c>
      <c r="AH36" s="7" t="n">
        <f aca="false">AG36*(1-$B$12)^(1/12)+AH35</f>
        <v>18.4425800507259</v>
      </c>
      <c r="AI36" s="7" t="n">
        <f aca="false">AH36*(1-$B$12)^(1/12)+AI35</f>
        <v>18.2813621909216</v>
      </c>
      <c r="AJ36" s="7" t="n">
        <f aca="false">AI36*(1-$B$12)^(1/12)+AJ35</f>
        <v>18.1215536349267</v>
      </c>
      <c r="AK36" s="7" t="n">
        <f aca="false">AJ36*(1-$B$12)^(1/12)+AK35</f>
        <v>20.9631420631555</v>
      </c>
    </row>
    <row r="37" customFormat="false" ht="15" hidden="false" customHeight="false" outlineLevel="0" collapsed="false">
      <c r="A37" s="0" t="s">
        <v>68</v>
      </c>
      <c r="B37" s="8" t="n">
        <f aca="false">B36*$B$11/12</f>
        <v>0</v>
      </c>
      <c r="C37" s="8" t="n">
        <f aca="false">C36*$B$11/12</f>
        <v>0</v>
      </c>
      <c r="D37" s="8" t="n">
        <f aca="false">D36*$B$11/12</f>
        <v>0</v>
      </c>
      <c r="E37" s="8" t="n">
        <f aca="false">E36*$B$11/12</f>
        <v>0</v>
      </c>
      <c r="F37" s="8" t="n">
        <f aca="false">F36*$B$11/12</f>
        <v>0</v>
      </c>
      <c r="G37" s="8" t="n">
        <f aca="false">G36*$B$11/12</f>
        <v>0</v>
      </c>
      <c r="H37" s="8" t="n">
        <f aca="false">H36*$B$11/12</f>
        <v>0</v>
      </c>
      <c r="I37" s="8" t="n">
        <f aca="false">I36*$B$11/12</f>
        <v>0</v>
      </c>
      <c r="J37" s="8" t="n">
        <f aca="false">J36*$B$11/12</f>
        <v>2083.33333333333</v>
      </c>
      <c r="K37" s="8" t="n">
        <f aca="false">K36*$B$11/12</f>
        <v>2065.12164384438</v>
      </c>
      <c r="L37" s="8" t="n">
        <f aca="false">L36*$B$11/12</f>
        <v>2047.06915385977</v>
      </c>
      <c r="M37" s="8" t="n">
        <f aca="false">M36*$B$11/12</f>
        <v>4112.5078050527</v>
      </c>
      <c r="N37" s="8" t="n">
        <f aca="false">N36*$B$11/12</f>
        <v>4076.55786177278</v>
      </c>
      <c r="O37" s="8" t="n">
        <f aca="false">O36*$B$11/12</f>
        <v>4040.92217891085</v>
      </c>
      <c r="P37" s="8" t="n">
        <f aca="false">P36*$B$11/12</f>
        <v>8172.26467599127</v>
      </c>
      <c r="Q37" s="8" t="n">
        <f aca="false">Q36*$B$11/12</f>
        <v>8100.82591757495</v>
      </c>
      <c r="R37" s="8" t="n">
        <f aca="false">R36*$B$11/12</f>
        <v>8030.01164899178</v>
      </c>
      <c r="S37" s="8" t="n">
        <f aca="false">S36*$B$11/12</f>
        <v>12126.4830778613</v>
      </c>
      <c r="T37" s="8" t="n">
        <f aca="false">T36*$B$11/12</f>
        <v>12020.4780805459</v>
      </c>
      <c r="U37" s="8" t="n">
        <f aca="false">U36*$B$11/12</f>
        <v>11915.3997376763</v>
      </c>
      <c r="V37" s="8" t="n">
        <f aca="false">V36*$B$11/12</f>
        <v>15977.9066154665</v>
      </c>
      <c r="W37" s="8" t="n">
        <f aca="false">W36*$B$11/12</f>
        <v>15838.2339719636</v>
      </c>
      <c r="X37" s="8" t="n">
        <f aca="false">X36*$B$11/12</f>
        <v>15699.7822923713</v>
      </c>
      <c r="Y37" s="8" t="n">
        <f aca="false">Y36*$B$11/12</f>
        <v>21812.5409034979</v>
      </c>
      <c r="Z37" s="8" t="n">
        <f aca="false">Z36*$B$11/12</f>
        <v>21621.8641569861</v>
      </c>
      <c r="AA37" s="8" t="n">
        <f aca="false">AA36*$B$11/12</f>
        <v>21432.8542324105</v>
      </c>
      <c r="AB37" s="8" t="n">
        <f aca="false">AB36*$B$11/12</f>
        <v>27495.496559062</v>
      </c>
      <c r="AC37" s="8" t="n">
        <f aca="false">AC36*$B$11/12</f>
        <v>27255.1416251365</v>
      </c>
      <c r="AD37" s="8" t="n">
        <f aca="false">AD36*$B$11/12</f>
        <v>27016.8877805344</v>
      </c>
      <c r="AE37" s="8" t="n">
        <f aca="false">AE36*$B$11/12</f>
        <v>33030.7166583502</v>
      </c>
      <c r="AF37" s="8" t="n">
        <f aca="false">AF36*$B$11/12</f>
        <v>32741.9749837681</v>
      </c>
      <c r="AG37" s="8" t="n">
        <f aca="false">AG36*$B$11/12</f>
        <v>32455.7573765716</v>
      </c>
      <c r="AH37" s="8" t="n">
        <f aca="false">AH36*$B$11/12</f>
        <v>38422.0417723456</v>
      </c>
      <c r="AI37" s="8" t="n">
        <f aca="false">AI36*$B$11/12</f>
        <v>38086.1712310866</v>
      </c>
      <c r="AJ37" s="8" t="n">
        <f aca="false">AJ36*$B$11/12</f>
        <v>37753.2367394305</v>
      </c>
      <c r="AK37" s="8" t="n">
        <f aca="false">AK36*$B$11/12</f>
        <v>43673.2126315739</v>
      </c>
    </row>
    <row r="38" customFormat="false" ht="15" hidden="false" customHeight="false" outlineLevel="0" collapsed="false">
      <c r="A38" s="1" t="s">
        <v>69</v>
      </c>
      <c r="B38" s="10" t="n">
        <f aca="false">B30+B34+B37</f>
        <v>0</v>
      </c>
      <c r="C38" s="10" t="n">
        <f aca="false">C30+C34+C37</f>
        <v>0</v>
      </c>
      <c r="D38" s="10" t="n">
        <f aca="false">D30+D34+D37</f>
        <v>8253.4771525</v>
      </c>
      <c r="E38" s="10" t="n">
        <f aca="false">E30+E34+E37</f>
        <v>1786.6823625</v>
      </c>
      <c r="F38" s="10" t="n">
        <f aca="false">F30+F34+F37</f>
        <v>1786.6823625</v>
      </c>
      <c r="G38" s="10" t="n">
        <f aca="false">G30+G34+G37</f>
        <v>10959.5219650936</v>
      </c>
      <c r="H38" s="10" t="n">
        <f aca="false">H30+H34+H37</f>
        <v>2272.75199715139</v>
      </c>
      <c r="I38" s="10" t="n">
        <f aca="false">I30+I34+I37</f>
        <v>2272.75199715139</v>
      </c>
      <c r="J38" s="10" t="n">
        <f aca="false">J30+J34+J37</f>
        <v>16319.6029290417</v>
      </c>
      <c r="K38" s="10" t="n">
        <f aca="false">K30+K34+K37</f>
        <v>4926.45499642838</v>
      </c>
      <c r="L38" s="10" t="n">
        <f aca="false">L30+L34+L37</f>
        <v>4908.40250644377</v>
      </c>
      <c r="M38" s="10" t="n">
        <f aca="false">M30+M34+M37</f>
        <v>22439.6969049989</v>
      </c>
      <c r="N38" s="10" t="n">
        <f aca="false">N30+N34+N37</f>
        <v>7672.71708995167</v>
      </c>
      <c r="O38" s="10" t="n">
        <f aca="false">O30+O34+O37</f>
        <v>7637.08140708975</v>
      </c>
      <c r="P38" s="10" t="n">
        <f aca="false">P30+P34+P37</f>
        <v>32681.19829498</v>
      </c>
      <c r="Q38" s="10" t="n">
        <f aca="false">Q30+Q34+Q37</f>
        <v>12807.3726330177</v>
      </c>
      <c r="R38" s="10" t="n">
        <f aca="false">R30+R34+R37</f>
        <v>12736.5583644345</v>
      </c>
      <c r="S38" s="10" t="n">
        <f aca="false">S30+S34+S37</f>
        <v>43414.8420269324</v>
      </c>
      <c r="T38" s="10" t="n">
        <f aca="false">T30+T34+T37</f>
        <v>17944.7698894933</v>
      </c>
      <c r="U38" s="10" t="n">
        <f aca="false">U30+U34+U37</f>
        <v>17839.6915466237</v>
      </c>
      <c r="V38" s="10" t="n">
        <f aca="false">V30+V34+V37</f>
        <v>54495.4102378913</v>
      </c>
      <c r="W38" s="10" t="n">
        <f aca="false">W30+W34+W37</f>
        <v>23061.0511023935</v>
      </c>
      <c r="X38" s="10" t="n">
        <f aca="false">X30+X34+X37</f>
        <v>22922.5994228011</v>
      </c>
      <c r="Y38" s="10" t="n">
        <f aca="false">Y30+Y34+Y37</f>
        <v>68255.970928333</v>
      </c>
      <c r="Z38" s="10" t="n">
        <f aca="false">Z30+Z34+Z37</f>
        <v>30268.3650833251</v>
      </c>
      <c r="AA38" s="10" t="n">
        <f aca="false">AA30+AA34+AA37</f>
        <v>30079.3551587494</v>
      </c>
      <c r="AB38" s="10" t="n">
        <f aca="false">AB30+AB34+AB37</f>
        <v>83452.4473087295</v>
      </c>
      <c r="AC38" s="10" t="n">
        <f aca="false">AC30+AC34+AC37</f>
        <v>37610.4958274622</v>
      </c>
      <c r="AD38" s="10" t="n">
        <f aca="false">AD30+AD34+AD37</f>
        <v>37372.2419828601</v>
      </c>
      <c r="AE38" s="10" t="n">
        <f aca="false">AE30+AE34+AE37</f>
        <v>99130.1216088019</v>
      </c>
      <c r="AF38" s="10" t="n">
        <f aca="false">AF30+AF34+AF37</f>
        <v>44919.1537859306</v>
      </c>
      <c r="AG38" s="10" t="n">
        <f aca="false">AG30+AG34+AG37</f>
        <v>44632.9361787341</v>
      </c>
      <c r="AH38" s="10" t="n">
        <f aca="false">AH30+AH34+AH37</f>
        <v>115013.734946364</v>
      </c>
      <c r="AI38" s="10" t="n">
        <f aca="false">AI30+AI34+AI37</f>
        <v>52148.0130956461</v>
      </c>
      <c r="AJ38" s="10" t="n">
        <f aca="false">AJ30+AJ34+AJ37</f>
        <v>51815.07860399</v>
      </c>
      <c r="AK38" s="10" t="n">
        <f aca="false">AK30+AK34+AK37</f>
        <v>131357.057131631</v>
      </c>
    </row>
    <row r="39" customFormat="false" ht="15" hidden="false" customHeight="false" outlineLevel="0" collapsed="false">
      <c r="A39" s="0" t="s">
        <v>70</v>
      </c>
      <c r="B39" s="8" t="n">
        <f aca="false">B38*$B$18+(B28+B29+B31)*$B$19</f>
        <v>0</v>
      </c>
      <c r="C39" s="8" t="n">
        <f aca="false">C38*$B$18+(C28+C29+C31)*$B$19</f>
        <v>0</v>
      </c>
      <c r="D39" s="8" t="n">
        <f aca="false">D38*$B$18+(D28+D29+D31)*$B$19</f>
        <v>240.5690843225</v>
      </c>
      <c r="E39" s="8" t="n">
        <f aca="false">E38*$B$18+(E28+E29+E31)*$B$19</f>
        <v>51.8137885125</v>
      </c>
      <c r="F39" s="8" t="n">
        <f aca="false">F38*$B$18+(F28+F29+F31)*$B$19</f>
        <v>51.8137885125</v>
      </c>
      <c r="G39" s="8" t="n">
        <f aca="false">G38*$B$18+(G28+G29+G31)*$B$19</f>
        <v>320.464015836537</v>
      </c>
      <c r="H39" s="8" t="n">
        <f aca="false">H38*$B$18+(H28+H29+H31)*$B$19</f>
        <v>65.9098079173902</v>
      </c>
      <c r="I39" s="8" t="n">
        <f aca="false">I38*$B$18+(I28+I29+I31)*$B$19</f>
        <v>65.9098079173902</v>
      </c>
      <c r="J39" s="8" t="n">
        <f aca="false">J38*$B$18+(J28+J29+J31)*$B$19</f>
        <v>477.625395051343</v>
      </c>
      <c r="K39" s="8" t="n">
        <f aca="false">K38*$B$18+(K28+K29+K31)*$B$19</f>
        <v>142.867194896423</v>
      </c>
      <c r="L39" s="8" t="n">
        <f aca="false">L38*$B$18+(L28+L29+L31)*$B$19</f>
        <v>142.343672686869</v>
      </c>
      <c r="M39" s="8" t="n">
        <f aca="false">M38*$B$18+(M28+M29+M31)*$B$19</f>
        <v>657.254278466952</v>
      </c>
      <c r="N39" s="8" t="n">
        <f aca="false">N38*$B$18+(N28+N29+N31)*$B$19</f>
        <v>222.508795608599</v>
      </c>
      <c r="O39" s="8" t="n">
        <f aca="false">O38*$B$18+(O28+O29+O31)*$B$19</f>
        <v>221.475360805603</v>
      </c>
      <c r="P39" s="8" t="n">
        <f aca="false">P38*$B$18+(P28+P29+P31)*$B$19</f>
        <v>957.500855247141</v>
      </c>
      <c r="Q39" s="8" t="n">
        <f aca="false">Q38*$B$18+(Q28+Q29+Q31)*$B$19</f>
        <v>371.413806357513</v>
      </c>
      <c r="R39" s="8" t="n">
        <f aca="false">R38*$B$18+(R28+R29+R31)*$B$19</f>
        <v>369.360192568602</v>
      </c>
      <c r="S39" s="8" t="n">
        <f aca="false">S38*$B$18+(S28+S29+S31)*$B$19</f>
        <v>1272.33311231828</v>
      </c>
      <c r="T39" s="8" t="n">
        <f aca="false">T38*$B$18+(T28+T29+T31)*$B$19</f>
        <v>520.398326795306</v>
      </c>
      <c r="U39" s="8" t="n">
        <f aca="false">U38*$B$18+(U28+U29+U31)*$B$19</f>
        <v>517.351054852088</v>
      </c>
      <c r="V39" s="8" t="n">
        <f aca="false">V38*$B$18+(V28+V29+V31)*$B$19</f>
        <v>1597.46210883534</v>
      </c>
      <c r="W39" s="8" t="n">
        <f aca="false">W38*$B$18+(W28+W29+W31)*$B$19</f>
        <v>668.770481969411</v>
      </c>
      <c r="X39" s="8" t="n">
        <f aca="false">X38*$B$18+(X28+X29+X31)*$B$19</f>
        <v>664.755383261232</v>
      </c>
      <c r="Y39" s="8" t="n">
        <f aca="false">Y38*$B$18+(Y28+Y29+Y31)*$B$19</f>
        <v>2000.67642946843</v>
      </c>
      <c r="Z39" s="8" t="n">
        <f aca="false">Z38*$B$18+(Z28+Z29+Z31)*$B$19</f>
        <v>877.782587416427</v>
      </c>
      <c r="AA39" s="8" t="n">
        <f aca="false">AA38*$B$18+(AA28+AA29+AA31)*$B$19</f>
        <v>872.301299603733</v>
      </c>
      <c r="AB39" s="8" t="n">
        <f aca="false">AB38*$B$18+(AB28+AB29+AB31)*$B$19</f>
        <v>2446.36518105201</v>
      </c>
      <c r="AC39" s="8" t="n">
        <f aca="false">AC38*$B$18+(AC28+AC29+AC31)*$B$19</f>
        <v>1090.7043789964</v>
      </c>
      <c r="AD39" s="8" t="n">
        <f aca="false">AD38*$B$18+(AD28+AD29+AD31)*$B$19</f>
        <v>1083.79501750294</v>
      </c>
      <c r="AE39" s="8" t="n">
        <f aca="false">AE38*$B$18+(AE28+AE29+AE31)*$B$19</f>
        <v>2906.33862029967</v>
      </c>
      <c r="AF39" s="8" t="n">
        <f aca="false">AF38*$B$18+(AF28+AF29+AF31)*$B$19</f>
        <v>1302.65545979199</v>
      </c>
      <c r="AG39" s="8" t="n">
        <f aca="false">AG38*$B$18+(AG28+AG29+AG31)*$B$19</f>
        <v>1294.35514918329</v>
      </c>
      <c r="AH39" s="8" t="n">
        <f aca="false">AH38*$B$18+(AH28+AH29+AH31)*$B$19</f>
        <v>3372.46781984263</v>
      </c>
      <c r="AI39" s="8" t="n">
        <f aca="false">AI38*$B$18+(AI28+AI29+AI31)*$B$19</f>
        <v>1512.29237977374</v>
      </c>
      <c r="AJ39" s="8" t="n">
        <f aca="false">AJ38*$B$18+(AJ28+AJ29+AJ31)*$B$19</f>
        <v>1502.63727951571</v>
      </c>
      <c r="AK39" s="8" t="n">
        <f aca="false">AK38*$B$18+(AK28+AK29+AK31)*$B$19</f>
        <v>3852.24327320584</v>
      </c>
    </row>
    <row r="40" customFormat="false" ht="15" hidden="false" customHeight="false" outlineLevel="0" collapsed="false">
      <c r="A40" s="0" t="s">
        <v>71</v>
      </c>
      <c r="B40" s="6" t="n">
        <v>1</v>
      </c>
      <c r="C40" s="6" t="n">
        <v>1</v>
      </c>
      <c r="D40" s="6" t="n">
        <v>1</v>
      </c>
      <c r="E40" s="6" t="n">
        <v>1</v>
      </c>
      <c r="F40" s="6" t="n">
        <v>1</v>
      </c>
      <c r="G40" s="6" t="n">
        <v>1</v>
      </c>
      <c r="H40" s="6" t="n">
        <v>1</v>
      </c>
      <c r="I40" s="6" t="n">
        <v>1</v>
      </c>
      <c r="J40" s="6" t="n">
        <v>1</v>
      </c>
      <c r="K40" s="6" t="n">
        <v>1</v>
      </c>
      <c r="L40" s="6" t="n">
        <v>1</v>
      </c>
      <c r="M40" s="6" t="n">
        <v>1</v>
      </c>
      <c r="N40" s="6" t="n">
        <v>1</v>
      </c>
      <c r="O40" s="6" t="n">
        <v>1</v>
      </c>
      <c r="P40" s="6" t="n">
        <v>1</v>
      </c>
      <c r="Q40" s="6" t="n">
        <v>1</v>
      </c>
      <c r="R40" s="6" t="n">
        <v>1</v>
      </c>
      <c r="S40" s="6" t="n">
        <v>1</v>
      </c>
      <c r="T40" s="6" t="n">
        <v>1</v>
      </c>
      <c r="U40" s="6" t="n">
        <v>1</v>
      </c>
      <c r="V40" s="6" t="n">
        <v>1</v>
      </c>
      <c r="W40" s="6" t="n">
        <v>1</v>
      </c>
      <c r="X40" s="6" t="n">
        <v>1</v>
      </c>
      <c r="Y40" s="6" t="n">
        <v>1</v>
      </c>
      <c r="Z40" s="6" t="n">
        <v>1</v>
      </c>
      <c r="AA40" s="6" t="n">
        <v>1</v>
      </c>
      <c r="AB40" s="6" t="n">
        <v>1</v>
      </c>
      <c r="AC40" s="6" t="n">
        <v>1</v>
      </c>
      <c r="AD40" s="6" t="n">
        <v>1</v>
      </c>
      <c r="AE40" s="6" t="n">
        <v>1</v>
      </c>
      <c r="AF40" s="6" t="n">
        <v>1</v>
      </c>
      <c r="AG40" s="6" t="n">
        <v>1</v>
      </c>
      <c r="AH40" s="6" t="n">
        <v>1</v>
      </c>
      <c r="AI40" s="6" t="n">
        <v>1</v>
      </c>
      <c r="AJ40" s="6" t="n">
        <v>1</v>
      </c>
      <c r="AK40" s="6" t="n">
        <v>1</v>
      </c>
    </row>
    <row r="41" customFormat="false" ht="15" hidden="false" customHeight="false" outlineLevel="0" collapsed="false">
      <c r="A41" s="0" t="s">
        <v>72</v>
      </c>
      <c r="B41" s="8" t="n">
        <f aca="false">B40*$B$14</f>
        <v>50</v>
      </c>
      <c r="C41" s="8" t="n">
        <f aca="false">C40*$B$14</f>
        <v>50</v>
      </c>
      <c r="D41" s="8" t="n">
        <f aca="false">D40*$B$14</f>
        <v>50</v>
      </c>
      <c r="E41" s="8" t="n">
        <f aca="false">E40*$B$14</f>
        <v>50</v>
      </c>
      <c r="F41" s="8" t="n">
        <f aca="false">F40*$B$14</f>
        <v>50</v>
      </c>
      <c r="G41" s="8" t="n">
        <f aca="false">G40*$B$14</f>
        <v>50</v>
      </c>
      <c r="H41" s="8" t="n">
        <f aca="false">H40*$B$14</f>
        <v>50</v>
      </c>
      <c r="I41" s="8" t="n">
        <f aca="false">I40*$B$14</f>
        <v>50</v>
      </c>
      <c r="J41" s="8" t="n">
        <f aca="false">J40*$B$14</f>
        <v>50</v>
      </c>
      <c r="K41" s="8" t="n">
        <f aca="false">K40*$B$14</f>
        <v>50</v>
      </c>
      <c r="L41" s="8" t="n">
        <f aca="false">L40*$B$14</f>
        <v>50</v>
      </c>
      <c r="M41" s="8" t="n">
        <f aca="false">M40*$B$14</f>
        <v>50</v>
      </c>
      <c r="N41" s="8" t="n">
        <f aca="false">N40*$B$14</f>
        <v>50</v>
      </c>
      <c r="O41" s="8" t="n">
        <f aca="false">O40*$B$14</f>
        <v>50</v>
      </c>
      <c r="P41" s="8" t="n">
        <f aca="false">P40*$B$14</f>
        <v>50</v>
      </c>
      <c r="Q41" s="8" t="n">
        <f aca="false">Q40*$B$14</f>
        <v>50</v>
      </c>
      <c r="R41" s="8" t="n">
        <f aca="false">R40*$B$14</f>
        <v>50</v>
      </c>
      <c r="S41" s="8" t="n">
        <f aca="false">S40*$B$14</f>
        <v>50</v>
      </c>
      <c r="T41" s="8" t="n">
        <f aca="false">T40*$B$14</f>
        <v>50</v>
      </c>
      <c r="U41" s="8" t="n">
        <f aca="false">U40*$B$14</f>
        <v>50</v>
      </c>
      <c r="V41" s="8" t="n">
        <f aca="false">V40*$B$14</f>
        <v>50</v>
      </c>
      <c r="W41" s="8" t="n">
        <f aca="false">W40*$B$14</f>
        <v>50</v>
      </c>
      <c r="X41" s="8" t="n">
        <f aca="false">X40*$B$14</f>
        <v>50</v>
      </c>
      <c r="Y41" s="8" t="n">
        <f aca="false">Y40*$B$14</f>
        <v>50</v>
      </c>
      <c r="Z41" s="8" t="n">
        <f aca="false">Z40*$B$14</f>
        <v>50</v>
      </c>
      <c r="AA41" s="8" t="n">
        <f aca="false">AA40*$B$14</f>
        <v>50</v>
      </c>
      <c r="AB41" s="8" t="n">
        <f aca="false">AB40*$B$14</f>
        <v>50</v>
      </c>
      <c r="AC41" s="8" t="n">
        <f aca="false">AC40*$B$14</f>
        <v>50</v>
      </c>
      <c r="AD41" s="8" t="n">
        <f aca="false">AD40*$B$14</f>
        <v>50</v>
      </c>
      <c r="AE41" s="8" t="n">
        <f aca="false">AE40*$B$14</f>
        <v>50</v>
      </c>
      <c r="AF41" s="8" t="n">
        <f aca="false">AF40*$B$14</f>
        <v>50</v>
      </c>
      <c r="AG41" s="8" t="n">
        <f aca="false">AG40*$B$14</f>
        <v>50</v>
      </c>
      <c r="AH41" s="8" t="n">
        <f aca="false">AH40*$B$14</f>
        <v>50</v>
      </c>
      <c r="AI41" s="8" t="n">
        <f aca="false">AI40*$B$14</f>
        <v>50</v>
      </c>
      <c r="AJ41" s="8" t="n">
        <f aca="false">AJ40*$B$14</f>
        <v>50</v>
      </c>
      <c r="AK41" s="8" t="n">
        <f aca="false">AK40*$B$14</f>
        <v>50</v>
      </c>
    </row>
    <row r="42" customFormat="false" ht="15" hidden="false" customHeight="false" outlineLevel="0" collapsed="false">
      <c r="A42" s="0" t="s">
        <v>73</v>
      </c>
      <c r="B42" s="8" t="n">
        <f aca="false">$B$13+B41+B39</f>
        <v>100</v>
      </c>
      <c r="C42" s="8" t="n">
        <f aca="false">$B$13+C41+C39</f>
        <v>100</v>
      </c>
      <c r="D42" s="8" t="n">
        <f aca="false">$B$13+D41+D39</f>
        <v>340.5690843225</v>
      </c>
      <c r="E42" s="8" t="n">
        <f aca="false">$B$13+E41+E39</f>
        <v>151.8137885125</v>
      </c>
      <c r="F42" s="8" t="n">
        <f aca="false">$B$13+F41+F39</f>
        <v>151.8137885125</v>
      </c>
      <c r="G42" s="8" t="n">
        <f aca="false">$B$13+G41+G39</f>
        <v>420.464015836537</v>
      </c>
      <c r="H42" s="8" t="n">
        <f aca="false">$B$13+H41+H39</f>
        <v>165.90980791739</v>
      </c>
      <c r="I42" s="8" t="n">
        <f aca="false">$B$13+I41+I39</f>
        <v>165.90980791739</v>
      </c>
      <c r="J42" s="8" t="n">
        <f aca="false">$B$13+J41+J39</f>
        <v>577.625395051343</v>
      </c>
      <c r="K42" s="8" t="n">
        <f aca="false">$B$13+K41+K39</f>
        <v>242.867194896423</v>
      </c>
      <c r="L42" s="8" t="n">
        <f aca="false">$B$13+L41+L39</f>
        <v>242.343672686869</v>
      </c>
      <c r="M42" s="8" t="n">
        <f aca="false">$B$13+M41+M39</f>
        <v>757.254278466952</v>
      </c>
      <c r="N42" s="8" t="n">
        <f aca="false">$B$13+N41+N39</f>
        <v>322.508795608599</v>
      </c>
      <c r="O42" s="8" t="n">
        <f aca="false">$B$13+O41+O39</f>
        <v>321.475360805603</v>
      </c>
      <c r="P42" s="8" t="n">
        <f aca="false">$B$13+P41+P39</f>
        <v>1057.50085524714</v>
      </c>
      <c r="Q42" s="8" t="n">
        <f aca="false">$B$13+Q41+Q39</f>
        <v>471.413806357513</v>
      </c>
      <c r="R42" s="8" t="n">
        <f aca="false">$B$13+R41+R39</f>
        <v>469.360192568602</v>
      </c>
      <c r="S42" s="8" t="n">
        <f aca="false">$B$13+S41+S39</f>
        <v>1372.33311231828</v>
      </c>
      <c r="T42" s="8" t="n">
        <f aca="false">$B$13+T41+T39</f>
        <v>620.398326795306</v>
      </c>
      <c r="U42" s="8" t="n">
        <f aca="false">$B$13+U41+U39</f>
        <v>617.351054852088</v>
      </c>
      <c r="V42" s="8" t="n">
        <f aca="false">$B$13+V41+V39</f>
        <v>1697.46210883534</v>
      </c>
      <c r="W42" s="8" t="n">
        <f aca="false">$B$13+W41+W39</f>
        <v>768.770481969411</v>
      </c>
      <c r="X42" s="8" t="n">
        <f aca="false">$B$13+X41+X39</f>
        <v>764.755383261232</v>
      </c>
      <c r="Y42" s="8" t="n">
        <f aca="false">$B$13+Y41+Y39</f>
        <v>2100.67642946843</v>
      </c>
      <c r="Z42" s="8" t="n">
        <f aca="false">$B$13+Z41+Z39</f>
        <v>977.782587416427</v>
      </c>
      <c r="AA42" s="8" t="n">
        <f aca="false">$B$13+AA41+AA39</f>
        <v>972.301299603733</v>
      </c>
      <c r="AB42" s="8" t="n">
        <f aca="false">$B$13+AB41+AB39</f>
        <v>2546.36518105201</v>
      </c>
      <c r="AC42" s="8" t="n">
        <f aca="false">$B$13+AC41+AC39</f>
        <v>1190.7043789964</v>
      </c>
      <c r="AD42" s="8" t="n">
        <f aca="false">$B$13+AD41+AD39</f>
        <v>1183.79501750294</v>
      </c>
      <c r="AE42" s="8" t="n">
        <f aca="false">$B$13+AE41+AE39</f>
        <v>3006.33862029967</v>
      </c>
      <c r="AF42" s="8" t="n">
        <f aca="false">$B$13+AF41+AF39</f>
        <v>1402.65545979199</v>
      </c>
      <c r="AG42" s="8" t="n">
        <f aca="false">$B$13+AG41+AG39</f>
        <v>1394.35514918329</v>
      </c>
      <c r="AH42" s="8" t="n">
        <f aca="false">$B$13+AH41+AH39</f>
        <v>3472.46781984263</v>
      </c>
      <c r="AI42" s="8" t="n">
        <f aca="false">$B$13+AI41+AI39</f>
        <v>1612.29237977374</v>
      </c>
      <c r="AJ42" s="8" t="n">
        <f aca="false">$B$13+AJ41+AJ39</f>
        <v>1602.63727951571</v>
      </c>
      <c r="AK42" s="8" t="n">
        <f aca="false">$B$13+AK41+AK39</f>
        <v>3952.24327320584</v>
      </c>
    </row>
    <row r="43" customFormat="false" ht="15" hidden="false" customHeight="false" outlineLevel="0" collapsed="false">
      <c r="A43" s="1" t="s">
        <v>74</v>
      </c>
      <c r="B43" s="10" t="n">
        <f aca="false">B38-B42</f>
        <v>-100</v>
      </c>
      <c r="C43" s="10" t="n">
        <f aca="false">C38-C42</f>
        <v>-100</v>
      </c>
      <c r="D43" s="10" t="n">
        <f aca="false">D38-D42</f>
        <v>7912.9080681775</v>
      </c>
      <c r="E43" s="10" t="n">
        <f aca="false">E38-E42</f>
        <v>1634.8685739875</v>
      </c>
      <c r="F43" s="10" t="n">
        <f aca="false">F38-F42</f>
        <v>1634.8685739875</v>
      </c>
      <c r="G43" s="10" t="n">
        <f aca="false">G38-G42</f>
        <v>10539.0579492571</v>
      </c>
      <c r="H43" s="10" t="n">
        <f aca="false">H38-H42</f>
        <v>2106.842189234</v>
      </c>
      <c r="I43" s="10" t="n">
        <f aca="false">I38-I42</f>
        <v>2106.842189234</v>
      </c>
      <c r="J43" s="10" t="n">
        <f aca="false">J38-J42</f>
        <v>15741.9775339903</v>
      </c>
      <c r="K43" s="10" t="n">
        <f aca="false">K38-K42</f>
        <v>4683.58780153195</v>
      </c>
      <c r="L43" s="10" t="n">
        <f aca="false">L38-L42</f>
        <v>4666.0588337569</v>
      </c>
      <c r="M43" s="10" t="n">
        <f aca="false">M38-M42</f>
        <v>21682.442626532</v>
      </c>
      <c r="N43" s="10" t="n">
        <f aca="false">N38-N42</f>
        <v>7350.20829434308</v>
      </c>
      <c r="O43" s="10" t="n">
        <f aca="false">O38-O42</f>
        <v>7315.60604628414</v>
      </c>
      <c r="P43" s="10" t="n">
        <f aca="false">P38-P42</f>
        <v>31623.6974397328</v>
      </c>
      <c r="Q43" s="10" t="n">
        <f aca="false">Q38-Q42</f>
        <v>12335.9588266602</v>
      </c>
      <c r="R43" s="10" t="n">
        <f aca="false">R38-R42</f>
        <v>12267.1981718659</v>
      </c>
      <c r="S43" s="10" t="n">
        <f aca="false">S38-S42</f>
        <v>42042.5089146141</v>
      </c>
      <c r="T43" s="10" t="n">
        <f aca="false">T38-T42</f>
        <v>17324.371562698</v>
      </c>
      <c r="U43" s="10" t="n">
        <f aca="false">U38-U42</f>
        <v>17222.3404917716</v>
      </c>
      <c r="V43" s="10" t="n">
        <f aca="false">V38-V42</f>
        <v>52797.9481290559</v>
      </c>
      <c r="W43" s="10" t="n">
        <f aca="false">W38-W42</f>
        <v>22292.2806204241</v>
      </c>
      <c r="X43" s="10" t="n">
        <f aca="false">X38-X42</f>
        <v>22157.8440395399</v>
      </c>
      <c r="Y43" s="10" t="n">
        <f aca="false">Y38-Y42</f>
        <v>66155.2944988646</v>
      </c>
      <c r="Z43" s="10" t="n">
        <f aca="false">Z38-Z42</f>
        <v>29290.5824959087</v>
      </c>
      <c r="AA43" s="10" t="n">
        <f aca="false">AA38-AA42</f>
        <v>29107.0538591457</v>
      </c>
      <c r="AB43" s="10" t="n">
        <f aca="false">AB38-AB42</f>
        <v>80906.0821276775</v>
      </c>
      <c r="AC43" s="10" t="n">
        <f aca="false">AC38-AC42</f>
        <v>36419.7914484658</v>
      </c>
      <c r="AD43" s="10" t="n">
        <f aca="false">AD38-AD42</f>
        <v>36188.4469653572</v>
      </c>
      <c r="AE43" s="10" t="n">
        <f aca="false">AE38-AE42</f>
        <v>96123.7829885022</v>
      </c>
      <c r="AF43" s="10" t="n">
        <f aca="false">AF38-AF42</f>
        <v>43516.4983261386</v>
      </c>
      <c r="AG43" s="10" t="n">
        <f aca="false">AG38-AG42</f>
        <v>43238.5810295508</v>
      </c>
      <c r="AH43" s="10" t="n">
        <f aca="false">AH38-AH42</f>
        <v>111541.267126521</v>
      </c>
      <c r="AI43" s="10" t="n">
        <f aca="false">AI38-AI42</f>
        <v>50535.7207158724</v>
      </c>
      <c r="AJ43" s="10" t="n">
        <f aca="false">AJ38-AJ42</f>
        <v>50212.4413244743</v>
      </c>
      <c r="AK43" s="10" t="n">
        <f aca="false">AK38-AK42</f>
        <v>127404.813858425</v>
      </c>
    </row>
    <row r="44" customFormat="false" ht="15" hidden="false" customHeight="false" outlineLevel="0" collapsed="false">
      <c r="A44" s="1" t="s">
        <v>75</v>
      </c>
      <c r="B44" s="10" t="n">
        <f aca="false">B43</f>
        <v>-100</v>
      </c>
      <c r="C44" s="10" t="n">
        <f aca="false">B44+C43</f>
        <v>-200</v>
      </c>
      <c r="D44" s="10" t="n">
        <f aca="false">C44+D43</f>
        <v>7712.9080681775</v>
      </c>
      <c r="E44" s="10" t="n">
        <f aca="false">D44+E43</f>
        <v>9347.776642165</v>
      </c>
      <c r="F44" s="10" t="n">
        <f aca="false">E44+F43</f>
        <v>10982.6452161525</v>
      </c>
      <c r="G44" s="10" t="n">
        <f aca="false">F44+G43</f>
        <v>21521.7031654096</v>
      </c>
      <c r="H44" s="10" t="n">
        <f aca="false">G44+H43</f>
        <v>23628.5453546436</v>
      </c>
      <c r="I44" s="10" t="n">
        <f aca="false">H44+I43</f>
        <v>25735.3875438776</v>
      </c>
      <c r="J44" s="10" t="n">
        <f aca="false">I44+J43</f>
        <v>41477.3650778679</v>
      </c>
      <c r="K44" s="10" t="n">
        <f aca="false">J44+K43</f>
        <v>46160.9528793999</v>
      </c>
      <c r="L44" s="10" t="n">
        <f aca="false">K44+L43</f>
        <v>50827.0117131568</v>
      </c>
      <c r="M44" s="10" t="n">
        <f aca="false">L44+M43</f>
        <v>72509.4543396887</v>
      </c>
      <c r="N44" s="10" t="n">
        <f aca="false">M44+N43</f>
        <v>79859.6626340318</v>
      </c>
      <c r="O44" s="10" t="n">
        <f aca="false">N44+O43</f>
        <v>87175.2686803159</v>
      </c>
      <c r="P44" s="10" t="n">
        <f aca="false">O44+P43</f>
        <v>118798.966120049</v>
      </c>
      <c r="Q44" s="10" t="n">
        <f aca="false">P44+Q43</f>
        <v>131134.924946709</v>
      </c>
      <c r="R44" s="10" t="n">
        <f aca="false">Q44+R43</f>
        <v>143402.123118575</v>
      </c>
      <c r="S44" s="10" t="n">
        <f aca="false">R44+S43</f>
        <v>185444.632033189</v>
      </c>
      <c r="T44" s="10" t="n">
        <f aca="false">S44+T43</f>
        <v>202769.003595887</v>
      </c>
      <c r="U44" s="10" t="n">
        <f aca="false">T44+U43</f>
        <v>219991.344087659</v>
      </c>
      <c r="V44" s="10" t="n">
        <f aca="false">U44+V43</f>
        <v>272789.292216715</v>
      </c>
      <c r="W44" s="10" t="n">
        <f aca="false">V44+W43</f>
        <v>295081.572837139</v>
      </c>
      <c r="X44" s="10" t="n">
        <f aca="false">W44+X43</f>
        <v>317239.416876679</v>
      </c>
      <c r="Y44" s="10" t="n">
        <f aca="false">X44+Y43</f>
        <v>383394.711375543</v>
      </c>
      <c r="Z44" s="10" t="n">
        <f aca="false">Y44+Z43</f>
        <v>412685.293871452</v>
      </c>
      <c r="AA44" s="10" t="n">
        <f aca="false">Z44+AA43</f>
        <v>441792.347730597</v>
      </c>
      <c r="AB44" s="10" t="n">
        <f aca="false">AA44+AB43</f>
        <v>522698.429858275</v>
      </c>
      <c r="AC44" s="10" t="n">
        <f aca="false">AB44+AC43</f>
        <v>559118.221306741</v>
      </c>
      <c r="AD44" s="10" t="n">
        <f aca="false">AC44+AD43</f>
        <v>595306.668272098</v>
      </c>
      <c r="AE44" s="10" t="n">
        <f aca="false">AD44+AE43</f>
        <v>691430.4512606</v>
      </c>
      <c r="AF44" s="10" t="n">
        <f aca="false">AE44+AF43</f>
        <v>734946.949586739</v>
      </c>
      <c r="AG44" s="10" t="n">
        <f aca="false">AF44+AG43</f>
        <v>778185.53061629</v>
      </c>
      <c r="AH44" s="10" t="n">
        <f aca="false">AG44+AH43</f>
        <v>889726.797742811</v>
      </c>
      <c r="AI44" s="10" t="n">
        <f aca="false">AH44+AI43</f>
        <v>940262.518458683</v>
      </c>
      <c r="AJ44" s="10" t="n">
        <f aca="false">AI44+AJ43</f>
        <v>990474.959783157</v>
      </c>
      <c r="AK44" s="10" t="n">
        <f aca="false">AJ44+AK43</f>
        <v>1117879.77364158</v>
      </c>
    </row>
    <row r="46" customFormat="false" ht="15" hidden="false" customHeight="false" outlineLevel="0" collapsed="false">
      <c r="A46" s="11" t="s">
        <v>76</v>
      </c>
    </row>
    <row r="47" customFormat="false" ht="15" hidden="false" customHeight="false" outlineLevel="0" collapsed="false">
      <c r="A47" s="11" t="s">
        <v>77</v>
      </c>
    </row>
    <row r="48" customFormat="false" ht="15" hidden="false" customHeight="false" outlineLevel="0" collapsed="false">
      <c r="A48" s="11" t="s">
        <v>78</v>
      </c>
    </row>
    <row r="49" customFormat="false" ht="15" hidden="false" customHeight="false" outlineLevel="0" collapsed="false">
      <c r="A49" s="11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7" activeCellId="0" sqref="A37"/>
    </sheetView>
  </sheetViews>
  <sheetFormatPr defaultColWidth="8.6171875" defaultRowHeight="15" zeroHeight="false" outlineLevelRow="0" outlineLevelCol="0"/>
  <cols>
    <col collapsed="false" customWidth="true" hidden="false" outlineLevel="0" max="1" min="1" style="12" width="62"/>
    <col collapsed="false" customWidth="true" hidden="false" outlineLevel="0" max="2" min="2" style="12" width="16"/>
    <col collapsed="false" customWidth="true" hidden="false" outlineLevel="0" max="3" min="3" style="12" width="45"/>
    <col collapsed="false" customWidth="true" hidden="false" outlineLevel="0" max="4" min="4" style="12" width="16"/>
  </cols>
  <sheetData>
    <row r="1" customFormat="false" ht="17.25" hidden="false" customHeight="true" outlineLevel="0" collapsed="false">
      <c r="A1" s="13" t="s">
        <v>80</v>
      </c>
    </row>
    <row r="3" customFormat="false" ht="15" hidden="false" customHeight="true" outlineLevel="0" collapsed="false">
      <c r="A3" s="14" t="s">
        <v>81</v>
      </c>
    </row>
    <row r="4" customFormat="false" ht="15" hidden="false" customHeight="true" outlineLevel="0" collapsed="false">
      <c r="A4" s="12" t="s">
        <v>82</v>
      </c>
      <c r="B4" s="15" t="n">
        <v>800</v>
      </c>
      <c r="C4" s="12" t="s">
        <v>83</v>
      </c>
    </row>
    <row r="5" customFormat="false" ht="15" hidden="false" customHeight="true" outlineLevel="0" collapsed="false">
      <c r="A5" s="12" t="s">
        <v>84</v>
      </c>
      <c r="B5" s="15" t="n">
        <v>12</v>
      </c>
      <c r="C5" s="12" t="s">
        <v>85</v>
      </c>
    </row>
    <row r="6" customFormat="false" ht="15" hidden="false" customHeight="true" outlineLevel="0" collapsed="false">
      <c r="A6" s="12" t="s">
        <v>86</v>
      </c>
      <c r="B6" s="15" t="n">
        <v>0.005</v>
      </c>
      <c r="C6" s="12" t="s">
        <v>87</v>
      </c>
    </row>
    <row r="7" customFormat="false" ht="15" hidden="false" customHeight="true" outlineLevel="0" collapsed="false">
      <c r="A7" s="12" t="s">
        <v>88</v>
      </c>
      <c r="B7" s="15" t="n">
        <v>0.02</v>
      </c>
      <c r="C7" s="12" t="s">
        <v>89</v>
      </c>
    </row>
    <row r="8" customFormat="false" ht="15" hidden="false" customHeight="true" outlineLevel="0" collapsed="false">
      <c r="A8" s="12" t="s">
        <v>90</v>
      </c>
      <c r="B8" s="15" t="n">
        <v>0.12</v>
      </c>
      <c r="C8" s="12" t="s">
        <v>91</v>
      </c>
    </row>
    <row r="9" customFormat="false" ht="15" hidden="false" customHeight="true" outlineLevel="0" collapsed="false">
      <c r="A9" s="12" t="s">
        <v>92</v>
      </c>
      <c r="B9" s="15" t="n">
        <v>5000</v>
      </c>
      <c r="C9" s="12" t="s">
        <v>93</v>
      </c>
    </row>
    <row r="10" customFormat="false" ht="15" hidden="false" customHeight="true" outlineLevel="0" collapsed="false">
      <c r="A10" s="12" t="s">
        <v>94</v>
      </c>
      <c r="B10" s="15" t="n">
        <v>130</v>
      </c>
      <c r="C10" s="12" t="s">
        <v>95</v>
      </c>
    </row>
    <row r="12" customFormat="false" ht="15" hidden="false" customHeight="true" outlineLevel="0" collapsed="false">
      <c r="A12" s="14" t="s">
        <v>96</v>
      </c>
    </row>
    <row r="13" customFormat="false" ht="15" hidden="false" customHeight="true" outlineLevel="0" collapsed="false">
      <c r="A13" s="12" t="s">
        <v>97</v>
      </c>
      <c r="B13" s="12" t="s">
        <v>98</v>
      </c>
      <c r="C13" s="12" t="s">
        <v>99</v>
      </c>
      <c r="D13" s="12" t="s">
        <v>100</v>
      </c>
    </row>
    <row r="14" customFormat="false" ht="15" hidden="false" customHeight="true" outlineLevel="0" collapsed="false">
      <c r="B14" s="12" t="n">
        <v>0.5</v>
      </c>
      <c r="C14" s="12" t="n">
        <v>1</v>
      </c>
      <c r="D14" s="12" t="n">
        <v>2</v>
      </c>
    </row>
    <row r="15" customFormat="false" ht="15" hidden="false" customHeight="true" outlineLevel="0" collapsed="false">
      <c r="A15" s="12" t="s">
        <v>101</v>
      </c>
      <c r="B15" s="16" t="n">
        <f aca="false">$B$4*$B$5*B14</f>
        <v>4800</v>
      </c>
      <c r="C15" s="16" t="n">
        <f aca="false">$B$4*$B$5*C14</f>
        <v>9600</v>
      </c>
      <c r="D15" s="16" t="n">
        <f aca="false">$B$4*$B$5*D14</f>
        <v>19200</v>
      </c>
    </row>
    <row r="16" customFormat="false" ht="15" hidden="false" customHeight="true" outlineLevel="0" collapsed="false">
      <c r="A16" s="12" t="s">
        <v>102</v>
      </c>
      <c r="B16" s="16" t="n">
        <f aca="false">B15*$B$6</f>
        <v>24</v>
      </c>
      <c r="C16" s="16" t="n">
        <f aca="false">C15*$B$6</f>
        <v>48</v>
      </c>
      <c r="D16" s="16" t="n">
        <f aca="false">D15*$B$6</f>
        <v>96</v>
      </c>
    </row>
    <row r="17" customFormat="false" ht="15" hidden="false" customHeight="true" outlineLevel="0" collapsed="false">
      <c r="A17" s="12" t="s">
        <v>103</v>
      </c>
      <c r="B17" s="16" t="n">
        <f aca="false">B16*$B$7</f>
        <v>0.48</v>
      </c>
      <c r="C17" s="16" t="n">
        <f aca="false">C16*$B$7</f>
        <v>0.96</v>
      </c>
      <c r="D17" s="16" t="n">
        <f aca="false">D16*$B$7</f>
        <v>1.92</v>
      </c>
    </row>
    <row r="18" customFormat="false" ht="15" hidden="false" customHeight="true" outlineLevel="0" collapsed="false">
      <c r="A18" s="12" t="s">
        <v>104</v>
      </c>
      <c r="B18" s="16" t="n">
        <f aca="false">B17*$B$8</f>
        <v>0.0576</v>
      </c>
      <c r="C18" s="16" t="n">
        <f aca="false">C17*$B$8</f>
        <v>0.1152</v>
      </c>
      <c r="D18" s="16" t="n">
        <f aca="false">D17*$B$8</f>
        <v>0.2304</v>
      </c>
    </row>
    <row r="19" customFormat="false" ht="15" hidden="false" customHeight="true" outlineLevel="0" collapsed="false">
      <c r="A19" s="12" t="s">
        <v>105</v>
      </c>
      <c r="B19" s="16" t="n">
        <f aca="false">B18*$B$9</f>
        <v>288</v>
      </c>
      <c r="C19" s="16" t="n">
        <f aca="false">C18*$B$9</f>
        <v>576</v>
      </c>
      <c r="D19" s="16" t="n">
        <f aca="false">D18*$B$9</f>
        <v>1152</v>
      </c>
    </row>
    <row r="20" customFormat="false" ht="15" hidden="false" customHeight="true" outlineLevel="0" collapsed="false">
      <c r="A20" s="12" t="s">
        <v>106</v>
      </c>
      <c r="B20" s="16" t="n">
        <f aca="false">B17*$B$10</f>
        <v>62.4</v>
      </c>
      <c r="C20" s="16" t="n">
        <f aca="false">C17*$B$10</f>
        <v>124.8</v>
      </c>
      <c r="D20" s="16" t="n">
        <f aca="false">D17*$B$10</f>
        <v>249.6</v>
      </c>
    </row>
    <row r="21" customFormat="false" ht="15" hidden="false" customHeight="true" outlineLevel="0" collapsed="false">
      <c r="A21" s="12" t="s">
        <v>107</v>
      </c>
      <c r="B21" s="16" t="n">
        <f aca="false">B19+B20</f>
        <v>350.4</v>
      </c>
      <c r="C21" s="16" t="n">
        <f aca="false">C19+C20</f>
        <v>700.8</v>
      </c>
      <c r="D21" s="16" t="n">
        <f aca="false">D19+D20</f>
        <v>1401.6</v>
      </c>
    </row>
    <row r="23" customFormat="false" ht="15" hidden="false" customHeight="true" outlineLevel="0" collapsed="false">
      <c r="A23" s="14" t="s">
        <v>108</v>
      </c>
    </row>
    <row r="24" customFormat="false" ht="15" hidden="false" customHeight="true" outlineLevel="0" collapsed="false">
      <c r="A24" s="12" t="s">
        <v>109</v>
      </c>
      <c r="B24" s="15" t="n">
        <v>2</v>
      </c>
    </row>
    <row r="25" customFormat="false" ht="15" hidden="false" customHeight="true" outlineLevel="0" collapsed="false">
      <c r="A25" s="12" t="s">
        <v>110</v>
      </c>
      <c r="B25" s="15" t="n">
        <v>1</v>
      </c>
    </row>
    <row r="26" customFormat="false" ht="15" hidden="false" customHeight="true" outlineLevel="0" collapsed="false">
      <c r="A26" s="12" t="s">
        <v>111</v>
      </c>
      <c r="B26" s="15" t="n">
        <v>1</v>
      </c>
    </row>
    <row r="27" customFormat="false" ht="15" hidden="false" customHeight="true" outlineLevel="0" collapsed="false">
      <c r="A27" s="12" t="s">
        <v>112</v>
      </c>
      <c r="B27" s="16" t="n">
        <f aca="false">B24+B25+B26</f>
        <v>4</v>
      </c>
    </row>
    <row r="28" customFormat="false" ht="15" hidden="false" customHeight="true" outlineLevel="0" collapsed="false">
      <c r="A28" s="14" t="s">
        <v>113</v>
      </c>
      <c r="B28" s="16" t="n">
        <f aca="false">C18+B27</f>
        <v>4.1152</v>
      </c>
    </row>
    <row r="29" customFormat="false" ht="15" hidden="false" customHeight="true" outlineLevel="0" collapsed="false">
      <c r="A29" s="12" t="s">
        <v>114</v>
      </c>
      <c r="B29" s="16" t="n">
        <f aca="false">B28*$B$9</f>
        <v>20576</v>
      </c>
    </row>
    <row r="31" customFormat="false" ht="15" hidden="false" customHeight="true" outlineLevel="0" collapsed="false">
      <c r="A31" s="14" t="s">
        <v>115</v>
      </c>
    </row>
    <row r="32" customFormat="false" ht="15" hidden="false" customHeight="true" outlineLevel="0" collapsed="false">
      <c r="A32" s="12" t="s">
        <v>116</v>
      </c>
    </row>
    <row r="33" customFormat="false" ht="15" hidden="false" customHeight="true" outlineLevel="0" collapsed="false">
      <c r="A33" s="12" t="s">
        <v>117</v>
      </c>
    </row>
    <row r="34" customFormat="false" ht="15" hidden="false" customHeight="true" outlineLevel="0" collapsed="false">
      <c r="A34" s="12" t="s">
        <v>118</v>
      </c>
    </row>
    <row r="35" customFormat="false" ht="15" hidden="false" customHeight="true" outlineLevel="0" collapsed="false">
      <c r="A35" s="12" t="s">
        <v>119</v>
      </c>
    </row>
    <row r="36" customFormat="false" ht="15" hidden="false" customHeight="true" outlineLevel="0" collapsed="false">
      <c r="A36" s="12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70" colorId="64" zoomScale="100" zoomScaleNormal="100" zoomScalePageLayoutView="100" workbookViewId="0">
      <selection pane="topLeft" activeCell="A84" activeCellId="0" sqref="A84"/>
    </sheetView>
  </sheetViews>
  <sheetFormatPr defaultColWidth="8.87890625" defaultRowHeight="15" zeroHeight="false" outlineLevelRow="0" outlineLevelCol="0"/>
  <cols>
    <col collapsed="false" customWidth="true" hidden="false" outlineLevel="0" max="1" min="1" style="12" width="41.31"/>
    <col collapsed="false" customWidth="true" hidden="false" outlineLevel="0" max="2" min="2" style="12" width="92.95"/>
  </cols>
  <sheetData>
    <row r="1" customFormat="false" ht="19.5" hidden="false" customHeight="true" outlineLevel="0" collapsed="false">
      <c r="A1" s="17" t="s">
        <v>121</v>
      </c>
    </row>
    <row r="3" customFormat="false" ht="15.75" hidden="false" customHeight="true" outlineLevel="0" collapsed="false">
      <c r="A3" s="18" t="s">
        <v>122</v>
      </c>
    </row>
    <row r="4" customFormat="false" ht="30.75" hidden="false" customHeight="true" outlineLevel="0" collapsed="false">
      <c r="A4" s="19" t="s">
        <v>123</v>
      </c>
      <c r="B4" s="20" t="s">
        <v>124</v>
      </c>
    </row>
    <row r="5" customFormat="false" ht="30.75" hidden="false" customHeight="true" outlineLevel="0" collapsed="false">
      <c r="A5" s="19" t="s">
        <v>125</v>
      </c>
      <c r="B5" s="20" t="s">
        <v>126</v>
      </c>
    </row>
    <row r="7" customFormat="false" ht="15.75" hidden="false" customHeight="true" outlineLevel="0" collapsed="false">
      <c r="A7" s="18" t="s">
        <v>127</v>
      </c>
    </row>
    <row r="8" customFormat="false" ht="45.75" hidden="false" customHeight="true" outlineLevel="0" collapsed="false">
      <c r="A8" s="19" t="s">
        <v>123</v>
      </c>
      <c r="B8" s="20" t="s">
        <v>128</v>
      </c>
    </row>
    <row r="10" customFormat="false" ht="15.75" hidden="false" customHeight="true" outlineLevel="0" collapsed="false">
      <c r="A10" s="18" t="s">
        <v>129</v>
      </c>
    </row>
    <row r="11" customFormat="false" ht="30.75" hidden="false" customHeight="true" outlineLevel="0" collapsed="false">
      <c r="A11" s="19" t="s">
        <v>130</v>
      </c>
      <c r="B11" s="20" t="s">
        <v>131</v>
      </c>
    </row>
    <row r="12" customFormat="false" ht="15.75" hidden="false" customHeight="true" outlineLevel="0" collapsed="false">
      <c r="A12" s="19" t="s">
        <v>132</v>
      </c>
      <c r="B12" s="20" t="s">
        <v>133</v>
      </c>
    </row>
    <row r="13" customFormat="false" ht="15.75" hidden="false" customHeight="true" outlineLevel="0" collapsed="false">
      <c r="A13" s="19" t="s">
        <v>134</v>
      </c>
      <c r="B13" s="20" t="s">
        <v>135</v>
      </c>
    </row>
    <row r="14" customFormat="false" ht="15.75" hidden="false" customHeight="true" outlineLevel="0" collapsed="false">
      <c r="A14" s="19" t="s">
        <v>136</v>
      </c>
      <c r="B14" s="20" t="s">
        <v>137</v>
      </c>
    </row>
    <row r="15" customFormat="false" ht="15.75" hidden="false" customHeight="true" outlineLevel="0" collapsed="false">
      <c r="A15" s="19" t="s">
        <v>138</v>
      </c>
      <c r="B15" s="20" t="s">
        <v>139</v>
      </c>
    </row>
    <row r="16" customFormat="false" ht="15.75" hidden="false" customHeight="true" outlineLevel="0" collapsed="false">
      <c r="A16" s="19" t="s">
        <v>140</v>
      </c>
      <c r="B16" s="20" t="s">
        <v>141</v>
      </c>
    </row>
    <row r="17" customFormat="false" ht="15.75" hidden="false" customHeight="true" outlineLevel="0" collapsed="false">
      <c r="A17" s="19" t="s">
        <v>142</v>
      </c>
      <c r="B17" s="20" t="s">
        <v>143</v>
      </c>
    </row>
    <row r="19" customFormat="false" ht="15.75" hidden="false" customHeight="true" outlineLevel="0" collapsed="false">
      <c r="A19" s="18" t="s">
        <v>144</v>
      </c>
    </row>
    <row r="20" customFormat="false" ht="30.75" hidden="false" customHeight="true" outlineLevel="0" collapsed="false">
      <c r="A20" s="19" t="s">
        <v>145</v>
      </c>
      <c r="B20" s="20" t="s">
        <v>146</v>
      </c>
    </row>
    <row r="21" customFormat="false" ht="15.75" hidden="false" customHeight="true" outlineLevel="0" collapsed="false">
      <c r="A21" s="19" t="s">
        <v>147</v>
      </c>
      <c r="B21" s="20" t="s">
        <v>148</v>
      </c>
    </row>
    <row r="22" customFormat="false" ht="15.75" hidden="false" customHeight="true" outlineLevel="0" collapsed="false">
      <c r="A22" s="19" t="s">
        <v>149</v>
      </c>
      <c r="B22" s="20" t="s">
        <v>150</v>
      </c>
    </row>
    <row r="23" customFormat="false" ht="15.75" hidden="false" customHeight="true" outlineLevel="0" collapsed="false">
      <c r="A23" s="19" t="s">
        <v>151</v>
      </c>
      <c r="B23" s="20" t="s">
        <v>152</v>
      </c>
    </row>
    <row r="24" customFormat="false" ht="15.75" hidden="false" customHeight="true" outlineLevel="0" collapsed="false">
      <c r="A24" s="19" t="s">
        <v>153</v>
      </c>
      <c r="B24" s="20" t="s">
        <v>154</v>
      </c>
    </row>
    <row r="25" customFormat="false" ht="30.75" hidden="false" customHeight="true" outlineLevel="0" collapsed="false">
      <c r="A25" s="19" t="s">
        <v>155</v>
      </c>
      <c r="B25" s="20" t="s">
        <v>156</v>
      </c>
    </row>
    <row r="27" customFormat="false" ht="15.75" hidden="false" customHeight="true" outlineLevel="0" collapsed="false">
      <c r="A27" s="18" t="s">
        <v>157</v>
      </c>
    </row>
    <row r="28" customFormat="false" ht="30.75" hidden="false" customHeight="true" outlineLevel="0" collapsed="false">
      <c r="A28" s="19" t="s">
        <v>158</v>
      </c>
      <c r="B28" s="20" t="s">
        <v>159</v>
      </c>
    </row>
    <row r="29" customFormat="false" ht="15.75" hidden="false" customHeight="true" outlineLevel="0" collapsed="false">
      <c r="A29" s="19" t="s">
        <v>160</v>
      </c>
      <c r="B29" s="20" t="s">
        <v>161</v>
      </c>
    </row>
    <row r="30" customFormat="false" ht="15.75" hidden="false" customHeight="true" outlineLevel="0" collapsed="false">
      <c r="A30" s="19" t="s">
        <v>162</v>
      </c>
      <c r="B30" s="20" t="s">
        <v>163</v>
      </c>
    </row>
    <row r="31" customFormat="false" ht="30.75" hidden="false" customHeight="true" outlineLevel="0" collapsed="false">
      <c r="A31" s="19" t="s">
        <v>164</v>
      </c>
      <c r="B31" s="20" t="s">
        <v>165</v>
      </c>
    </row>
    <row r="33" customFormat="false" ht="15.75" hidden="false" customHeight="true" outlineLevel="0" collapsed="false">
      <c r="A33" s="18" t="s">
        <v>166</v>
      </c>
    </row>
    <row r="34" customFormat="false" ht="30.75" hidden="false" customHeight="true" outlineLevel="0" collapsed="false">
      <c r="A34" s="19" t="s">
        <v>167</v>
      </c>
      <c r="B34" s="20" t="s">
        <v>168</v>
      </c>
    </row>
    <row r="35" customFormat="false" ht="30.75" hidden="false" customHeight="true" outlineLevel="0" collapsed="false">
      <c r="A35" s="19" t="s">
        <v>169</v>
      </c>
      <c r="B35" s="20" t="s">
        <v>170</v>
      </c>
    </row>
    <row r="36" customFormat="false" ht="15.75" hidden="false" customHeight="true" outlineLevel="0" collapsed="false">
      <c r="A36" s="19" t="s">
        <v>171</v>
      </c>
      <c r="B36" s="20" t="s">
        <v>172</v>
      </c>
    </row>
    <row r="37" customFormat="false" ht="15.75" hidden="false" customHeight="true" outlineLevel="0" collapsed="false">
      <c r="A37" s="19" t="s">
        <v>173</v>
      </c>
      <c r="B37" s="20" t="s">
        <v>174</v>
      </c>
    </row>
    <row r="38" customFormat="false" ht="30.75" hidden="false" customHeight="true" outlineLevel="0" collapsed="false">
      <c r="A38" s="19" t="s">
        <v>175</v>
      </c>
      <c r="B38" s="20" t="s">
        <v>176</v>
      </c>
    </row>
    <row r="40" customFormat="false" ht="15.75" hidden="false" customHeight="true" outlineLevel="0" collapsed="false">
      <c r="A40" s="18" t="s">
        <v>177</v>
      </c>
    </row>
    <row r="41" customFormat="false" ht="15.75" hidden="false" customHeight="true" outlineLevel="0" collapsed="false">
      <c r="A41" s="19" t="s">
        <v>178</v>
      </c>
      <c r="B41" s="20" t="s">
        <v>179</v>
      </c>
    </row>
    <row r="42" customFormat="false" ht="15.75" hidden="false" customHeight="true" outlineLevel="0" collapsed="false">
      <c r="A42" s="19" t="s">
        <v>180</v>
      </c>
      <c r="B42" s="20" t="s">
        <v>181</v>
      </c>
    </row>
    <row r="43" customFormat="false" ht="30.75" hidden="false" customHeight="true" outlineLevel="0" collapsed="false">
      <c r="A43" s="19" t="s">
        <v>182</v>
      </c>
      <c r="B43" s="20" t="s">
        <v>183</v>
      </c>
    </row>
    <row r="44" customFormat="false" ht="15.75" hidden="false" customHeight="true" outlineLevel="0" collapsed="false">
      <c r="A44" s="19" t="s">
        <v>184</v>
      </c>
      <c r="B44" s="20" t="s">
        <v>185</v>
      </c>
    </row>
    <row r="45" customFormat="false" ht="15.75" hidden="false" customHeight="true" outlineLevel="0" collapsed="false">
      <c r="A45" s="19" t="s">
        <v>186</v>
      </c>
      <c r="B45" s="20" t="s">
        <v>187</v>
      </c>
    </row>
    <row r="47" customFormat="false" ht="35.25" hidden="false" customHeight="true" outlineLevel="0" collapsed="false">
      <c r="A47" s="21" t="s">
        <v>188</v>
      </c>
    </row>
    <row r="48" customFormat="false" ht="45.75" hidden="false" customHeight="true" outlineLevel="0" collapsed="false">
      <c r="A48" s="22" t="s">
        <v>123</v>
      </c>
      <c r="B48" s="23" t="s">
        <v>189</v>
      </c>
    </row>
    <row r="49" customFormat="false" ht="45.75" hidden="false" customHeight="true" outlineLevel="0" collapsed="false">
      <c r="A49" s="22" t="s">
        <v>190</v>
      </c>
      <c r="B49" s="23" t="s">
        <v>191</v>
      </c>
    </row>
    <row r="51" customFormat="false" ht="18" hidden="false" customHeight="true" outlineLevel="0" collapsed="false">
      <c r="A51" s="21" t="s">
        <v>192</v>
      </c>
    </row>
    <row r="52" customFormat="false" ht="45.75" hidden="false" customHeight="true" outlineLevel="0" collapsed="false">
      <c r="A52" s="22" t="s">
        <v>193</v>
      </c>
      <c r="B52" s="23" t="s">
        <v>194</v>
      </c>
    </row>
    <row r="53" customFormat="false" ht="30.75" hidden="false" customHeight="true" outlineLevel="0" collapsed="false">
      <c r="A53" s="22" t="s">
        <v>195</v>
      </c>
      <c r="B53" s="23" t="s">
        <v>196</v>
      </c>
    </row>
    <row r="54" customFormat="false" ht="45.75" hidden="false" customHeight="true" outlineLevel="0" collapsed="false">
      <c r="A54" s="22" t="s">
        <v>197</v>
      </c>
      <c r="B54" s="23" t="s">
        <v>198</v>
      </c>
    </row>
    <row r="55" customFormat="false" ht="30.75" hidden="false" customHeight="true" outlineLevel="0" collapsed="false">
      <c r="A55" s="22" t="s">
        <v>199</v>
      </c>
      <c r="B55" s="24" t="s">
        <v>200</v>
      </c>
    </row>
    <row r="57" customFormat="false" ht="18" hidden="false" customHeight="true" outlineLevel="0" collapsed="false">
      <c r="A57" s="21" t="s">
        <v>201</v>
      </c>
    </row>
    <row r="58" customFormat="false" ht="45.75" hidden="false" customHeight="true" outlineLevel="0" collapsed="false">
      <c r="A58" s="22" t="s">
        <v>202</v>
      </c>
      <c r="B58" s="24" t="s">
        <v>203</v>
      </c>
    </row>
    <row r="59" customFormat="false" ht="30.75" hidden="false" customHeight="true" outlineLevel="0" collapsed="false">
      <c r="A59" s="22" t="s">
        <v>204</v>
      </c>
      <c r="B59" s="24" t="s">
        <v>205</v>
      </c>
    </row>
    <row r="60" customFormat="false" ht="45.75" hidden="false" customHeight="true" outlineLevel="0" collapsed="false">
      <c r="A60" s="22" t="s">
        <v>206</v>
      </c>
      <c r="B60" s="24" t="s">
        <v>207</v>
      </c>
    </row>
    <row r="61" customFormat="false" ht="45.75" hidden="false" customHeight="true" outlineLevel="0" collapsed="false">
      <c r="A61" s="22" t="s">
        <v>208</v>
      </c>
      <c r="B61" s="24" t="s">
        <v>209</v>
      </c>
    </row>
    <row r="62" customFormat="false" ht="15" hidden="false" customHeight="true" outlineLevel="0" collapsed="false">
      <c r="B62" s="25"/>
    </row>
    <row r="63" customFormat="false" ht="18" hidden="false" customHeight="true" outlineLevel="0" collapsed="false">
      <c r="A63" s="21" t="s">
        <v>210</v>
      </c>
      <c r="B63" s="25"/>
    </row>
    <row r="64" customFormat="false" ht="30.75" hidden="false" customHeight="true" outlineLevel="0" collapsed="false">
      <c r="A64" s="22" t="s">
        <v>211</v>
      </c>
      <c r="B64" s="24" t="s">
        <v>212</v>
      </c>
    </row>
    <row r="65" customFormat="false" ht="45.75" hidden="false" customHeight="true" outlineLevel="0" collapsed="false">
      <c r="A65" s="22" t="s">
        <v>213</v>
      </c>
      <c r="B65" s="24" t="s">
        <v>214</v>
      </c>
    </row>
    <row r="66" customFormat="false" ht="15" hidden="false" customHeight="true" outlineLevel="0" collapsed="false">
      <c r="B66" s="25"/>
    </row>
    <row r="67" customFormat="false" ht="35.25" hidden="false" customHeight="true" outlineLevel="0" collapsed="false">
      <c r="A67" s="26" t="s">
        <v>215</v>
      </c>
      <c r="B67" s="25"/>
    </row>
    <row r="68" customFormat="false" ht="30.75" hidden="false" customHeight="true" outlineLevel="0" collapsed="false">
      <c r="A68" s="27" t="s">
        <v>216</v>
      </c>
      <c r="B68" s="24" t="s">
        <v>217</v>
      </c>
    </row>
    <row r="69" customFormat="false" ht="30.75" hidden="false" customHeight="true" outlineLevel="0" collapsed="false">
      <c r="A69" s="27" t="s">
        <v>218</v>
      </c>
      <c r="B69" s="24" t="s">
        <v>219</v>
      </c>
    </row>
    <row r="70" customFormat="false" ht="30.75" hidden="false" customHeight="true" outlineLevel="0" collapsed="false">
      <c r="A70" s="27" t="s">
        <v>220</v>
      </c>
      <c r="B70" s="24" t="s">
        <v>221</v>
      </c>
    </row>
    <row r="71" customFormat="false" ht="30.75" hidden="false" customHeight="true" outlineLevel="0" collapsed="false">
      <c r="A71" s="27" t="s">
        <v>222</v>
      </c>
      <c r="B71" s="24" t="s">
        <v>223</v>
      </c>
    </row>
    <row r="72" customFormat="false" ht="30.75" hidden="false" customHeight="true" outlineLevel="0" collapsed="false">
      <c r="A72" s="27" t="s">
        <v>224</v>
      </c>
      <c r="B72" s="24" t="s">
        <v>225</v>
      </c>
    </row>
    <row r="73" customFormat="false" ht="45.75" hidden="false" customHeight="true" outlineLevel="0" collapsed="false">
      <c r="A73" s="27" t="s">
        <v>226</v>
      </c>
      <c r="B73" s="24" t="s">
        <v>227</v>
      </c>
    </row>
    <row r="74" customFormat="false" ht="15" hidden="false" customHeight="true" outlineLevel="0" collapsed="false">
      <c r="A74" s="25"/>
      <c r="B74" s="25"/>
    </row>
    <row r="75" customFormat="false" ht="18" hidden="false" customHeight="true" outlineLevel="0" collapsed="false">
      <c r="A75" s="26" t="s">
        <v>228</v>
      </c>
      <c r="B75" s="25"/>
    </row>
    <row r="76" customFormat="false" ht="75.75" hidden="false" customHeight="true" outlineLevel="0" collapsed="false">
      <c r="A76" s="27" t="s">
        <v>229</v>
      </c>
      <c r="B76" s="24" t="s">
        <v>230</v>
      </c>
    </row>
    <row r="77" customFormat="false" ht="75.75" hidden="false" customHeight="true" outlineLevel="0" collapsed="false">
      <c r="A77" s="27" t="s">
        <v>231</v>
      </c>
      <c r="B77" s="24" t="s">
        <v>232</v>
      </c>
    </row>
    <row r="78" customFormat="false" ht="60.75" hidden="false" customHeight="true" outlineLevel="0" collapsed="false">
      <c r="A78" s="27" t="s">
        <v>233</v>
      </c>
      <c r="B78" s="24" t="s">
        <v>234</v>
      </c>
    </row>
    <row r="79" customFormat="false" ht="15" hidden="false" customHeight="true" outlineLevel="0" collapsed="false">
      <c r="A79" s="25"/>
      <c r="B79" s="25"/>
    </row>
    <row r="80" customFormat="false" ht="18" hidden="false" customHeight="true" outlineLevel="0" collapsed="false">
      <c r="A80" s="26" t="s">
        <v>235</v>
      </c>
      <c r="B80" s="25"/>
    </row>
    <row r="81" customFormat="false" ht="30.75" hidden="false" customHeight="true" outlineLevel="0" collapsed="false">
      <c r="A81" s="27" t="s">
        <v>236</v>
      </c>
      <c r="B81" s="24" t="s">
        <v>237</v>
      </c>
    </row>
    <row r="82" customFormat="false" ht="30.75" hidden="false" customHeight="true" outlineLevel="0" collapsed="false">
      <c r="A82" s="27" t="s">
        <v>238</v>
      </c>
      <c r="B82" s="24" t="s">
        <v>239</v>
      </c>
    </row>
    <row r="83" customFormat="false" ht="30.75" hidden="false" customHeight="true" outlineLevel="0" collapsed="false">
      <c r="A83" s="22" t="s">
        <v>240</v>
      </c>
      <c r="B83" s="24" t="s">
        <v>241</v>
      </c>
    </row>
    <row r="84" customFormat="false" ht="30.75" hidden="false" customHeight="true" outlineLevel="0" collapsed="false">
      <c r="A84" s="22" t="s">
        <v>242</v>
      </c>
      <c r="B84" s="24" t="s">
        <v>243</v>
      </c>
    </row>
    <row r="85" customFormat="false" ht="15" hidden="false" customHeight="true" outlineLevel="0" collapsed="false">
      <c r="B85" s="2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2" activeCellId="0" sqref="H12"/>
    </sheetView>
  </sheetViews>
  <sheetFormatPr defaultColWidth="8.87890625" defaultRowHeight="15" zeroHeight="false" outlineLevelRow="0" outlineLevelCol="0"/>
  <cols>
    <col collapsed="false" customWidth="true" hidden="false" outlineLevel="0" max="1" min="1" style="12" width="39.25"/>
    <col collapsed="false" customWidth="true" hidden="false" outlineLevel="0" max="2" min="2" style="12" width="16.52"/>
    <col collapsed="false" customWidth="true" hidden="false" outlineLevel="0" max="3" min="3" style="12" width="61.97"/>
  </cols>
  <sheetData>
    <row r="1" customFormat="false" ht="19.5" hidden="false" customHeight="true" outlineLevel="0" collapsed="false">
      <c r="A1" s="17" t="s">
        <v>244</v>
      </c>
    </row>
    <row r="3" customFormat="false" ht="15.75" hidden="false" customHeight="true" outlineLevel="0" collapsed="false">
      <c r="A3" s="28" t="s">
        <v>245</v>
      </c>
      <c r="B3" s="28" t="s">
        <v>246</v>
      </c>
      <c r="C3" s="28" t="s">
        <v>247</v>
      </c>
    </row>
    <row r="4" customFormat="false" ht="15.75" hidden="false" customHeight="true" outlineLevel="0" collapsed="false">
      <c r="A4" s="20" t="s">
        <v>248</v>
      </c>
      <c r="B4" s="29" t="n">
        <v>6500</v>
      </c>
      <c r="C4" s="20" t="s">
        <v>249</v>
      </c>
    </row>
    <row r="5" customFormat="false" ht="15.75" hidden="false" customHeight="true" outlineLevel="0" collapsed="false">
      <c r="A5" s="20" t="s">
        <v>250</v>
      </c>
      <c r="B5" s="29" t="n">
        <v>30000</v>
      </c>
      <c r="C5" s="20" t="s">
        <v>251</v>
      </c>
    </row>
    <row r="6" customFormat="false" ht="15.75" hidden="false" customHeight="true" outlineLevel="0" collapsed="false">
      <c r="A6" s="20" t="s">
        <v>252</v>
      </c>
      <c r="B6" s="29" t="n">
        <v>12500</v>
      </c>
      <c r="C6" s="20" t="s">
        <v>253</v>
      </c>
    </row>
    <row r="7" customFormat="false" ht="15.75" hidden="false" customHeight="true" outlineLevel="0" collapsed="false">
      <c r="A7" s="20" t="s">
        <v>254</v>
      </c>
      <c r="B7" s="29" t="n">
        <v>100000</v>
      </c>
      <c r="C7" s="20" t="s">
        <v>255</v>
      </c>
    </row>
    <row r="8" customFormat="false" ht="15.75" hidden="false" customHeight="true" outlineLevel="0" collapsed="false">
      <c r="A8" s="20" t="s">
        <v>256</v>
      </c>
      <c r="B8" s="29" t="n">
        <v>25000</v>
      </c>
      <c r="C8" s="20" t="s">
        <v>257</v>
      </c>
    </row>
    <row r="9" customFormat="false" ht="15.75" hidden="false" customHeight="true" outlineLevel="0" collapsed="false">
      <c r="A9" s="20" t="s">
        <v>258</v>
      </c>
      <c r="B9" s="29" t="n">
        <v>10000</v>
      </c>
      <c r="C9" s="20" t="s">
        <v>259</v>
      </c>
    </row>
    <row r="11" customFormat="false" ht="15.75" hidden="false" customHeight="true" outlineLevel="0" collapsed="false">
      <c r="A11" s="14" t="s">
        <v>260</v>
      </c>
      <c r="B11" s="30" t="n">
        <f aca="false">B4+B5+B6</f>
        <v>49000</v>
      </c>
      <c r="C11" s="20" t="s">
        <v>261</v>
      </c>
    </row>
    <row r="12" customFormat="false" ht="15.75" hidden="false" customHeight="true" outlineLevel="0" collapsed="false">
      <c r="A12" s="14" t="s">
        <v>262</v>
      </c>
      <c r="B12" s="30" t="n">
        <f aca="false">SUM(B4:B9)</f>
        <v>184000</v>
      </c>
      <c r="C12" s="20" t="s">
        <v>263</v>
      </c>
    </row>
    <row r="15" customFormat="false" ht="18" hidden="false" customHeight="true" outlineLevel="0" collapsed="false">
      <c r="A15" s="31" t="s">
        <v>264</v>
      </c>
    </row>
    <row r="16" customFormat="false" ht="15.75" hidden="false" customHeight="true" outlineLevel="0" collapsed="false">
      <c r="A16" s="14" t="s">
        <v>265</v>
      </c>
      <c r="B16" s="29" t="n">
        <f aca="false">'Ami — Projection'!AK46</f>
        <v>0</v>
      </c>
      <c r="C16" s="20" t="s">
        <v>266</v>
      </c>
    </row>
    <row r="17" customFormat="false" ht="15.75" hidden="false" customHeight="true" outlineLevel="0" collapsed="false">
      <c r="A17" s="14" t="s">
        <v>267</v>
      </c>
      <c r="B17" s="32" t="n">
        <f aca="false">B16/B11</f>
        <v>0</v>
      </c>
      <c r="C17" s="20" t="s">
        <v>268</v>
      </c>
    </row>
    <row r="18" customFormat="false" ht="15" hidden="false" customHeight="true" outlineLevel="0" collapsed="false">
      <c r="A18" s="14" t="s">
        <v>269</v>
      </c>
      <c r="B18" s="32" t="n">
        <f aca="false">B16/B12</f>
        <v>0</v>
      </c>
      <c r="C18" s="20"/>
    </row>
    <row r="20" customFormat="false" ht="18" hidden="false" customHeight="true" outlineLevel="0" collapsed="false">
      <c r="A20" s="31" t="s">
        <v>270</v>
      </c>
    </row>
    <row r="21" customFormat="false" ht="30.75" hidden="false" customHeight="true" outlineLevel="0" collapsed="false">
      <c r="A21" s="19" t="s">
        <v>271</v>
      </c>
      <c r="B21" s="33" t="s">
        <v>272</v>
      </c>
      <c r="C21" s="20" t="s">
        <v>273</v>
      </c>
    </row>
    <row r="22" customFormat="false" ht="30.75" hidden="false" customHeight="true" outlineLevel="0" collapsed="false">
      <c r="A22" s="19" t="s">
        <v>274</v>
      </c>
      <c r="B22" s="33" t="s">
        <v>275</v>
      </c>
      <c r="C22" s="20" t="s">
        <v>276</v>
      </c>
    </row>
    <row r="23" customFormat="false" ht="15.75" hidden="false" customHeight="true" outlineLevel="0" collapsed="false">
      <c r="A23" s="19" t="s">
        <v>277</v>
      </c>
      <c r="B23" s="33" t="s">
        <v>278</v>
      </c>
      <c r="C23" s="20" t="s">
        <v>279</v>
      </c>
    </row>
    <row r="24" customFormat="false" ht="30.75" hidden="false" customHeight="true" outlineLevel="0" collapsed="false">
      <c r="A24" s="19" t="s">
        <v>280</v>
      </c>
      <c r="B24" s="33" t="s">
        <v>281</v>
      </c>
      <c r="C24" s="20" t="s">
        <v>282</v>
      </c>
    </row>
    <row r="25" customFormat="false" ht="30.75" hidden="false" customHeight="true" outlineLevel="0" collapsed="false">
      <c r="A25" s="19" t="s">
        <v>283</v>
      </c>
      <c r="B25" s="33" t="s">
        <v>284</v>
      </c>
      <c r="C25" s="20" t="s">
        <v>285</v>
      </c>
    </row>
    <row r="27" customFormat="false" ht="18" hidden="false" customHeight="true" outlineLevel="0" collapsed="false">
      <c r="A27" s="31" t="s">
        <v>286</v>
      </c>
    </row>
    <row r="28" customFormat="false" ht="30.75" hidden="false" customHeight="true" outlineLevel="0" collapsed="false">
      <c r="A28" s="34" t="s">
        <v>287</v>
      </c>
      <c r="B28" s="34"/>
      <c r="C28" s="34"/>
    </row>
  </sheetData>
  <mergeCells count="1">
    <mergeCell ref="A28:C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6" topLeftCell="B17" activePane="bottomRight" state="frozen"/>
      <selection pane="topLeft" activeCell="A1" activeCellId="0" sqref="A1"/>
      <selection pane="topRight" activeCell="B1" activeCellId="0" sqref="B1"/>
      <selection pane="bottomLeft" activeCell="A17" activeCellId="0" sqref="A17"/>
      <selection pane="bottomRight" activeCell="A1" activeCellId="0" sqref="A1"/>
    </sheetView>
  </sheetViews>
  <sheetFormatPr defaultColWidth="8.87890625" defaultRowHeight="15" zeroHeight="false" outlineLevelRow="0" outlineLevelCol="0"/>
  <cols>
    <col collapsed="false" customWidth="true" hidden="false" outlineLevel="0" max="1" min="1" style="12" width="43.38"/>
    <col collapsed="false" customWidth="true" hidden="false" outlineLevel="0" max="37" min="2" style="12" width="13.43"/>
  </cols>
  <sheetData>
    <row r="1" customFormat="false" ht="15" hidden="false" customHeight="true" outlineLevel="0" collapsed="false">
      <c r="A1" s="35" t="s">
        <v>0</v>
      </c>
    </row>
    <row r="2" customFormat="false" ht="15" hidden="false" customHeight="true" outlineLevel="0" collapsed="false">
      <c r="A2" s="14" t="s">
        <v>288</v>
      </c>
      <c r="B2" s="36" t="n">
        <v>25000</v>
      </c>
      <c r="C2" s="37" t="s">
        <v>289</v>
      </c>
    </row>
    <row r="3" customFormat="false" ht="15" hidden="false" customHeight="true" outlineLevel="0" collapsed="false">
      <c r="A3" s="14" t="s">
        <v>290</v>
      </c>
      <c r="B3" s="36" t="n">
        <v>16000</v>
      </c>
      <c r="C3" s="37" t="s">
        <v>289</v>
      </c>
    </row>
    <row r="4" customFormat="false" ht="15" hidden="false" customHeight="true" outlineLevel="0" collapsed="false">
      <c r="A4" s="14" t="s">
        <v>291</v>
      </c>
      <c r="B4" s="36" t="n">
        <v>10000</v>
      </c>
      <c r="C4" s="37" t="s">
        <v>289</v>
      </c>
    </row>
    <row r="5" customFormat="false" ht="15" hidden="false" customHeight="true" outlineLevel="0" collapsed="false">
      <c r="A5" s="14" t="s">
        <v>292</v>
      </c>
      <c r="B5" s="36" t="n">
        <v>9000</v>
      </c>
      <c r="C5" s="37" t="s">
        <v>289</v>
      </c>
    </row>
    <row r="6" customFormat="false" ht="15" hidden="false" customHeight="true" outlineLevel="0" collapsed="false">
      <c r="A6" s="14" t="s">
        <v>293</v>
      </c>
      <c r="B6" s="36" t="n">
        <v>8000</v>
      </c>
      <c r="C6" s="37" t="s">
        <v>289</v>
      </c>
    </row>
    <row r="7" customFormat="false" ht="15" hidden="false" customHeight="true" outlineLevel="0" collapsed="false">
      <c r="A7" s="14" t="s">
        <v>294</v>
      </c>
      <c r="B7" s="38" t="n">
        <v>0.7</v>
      </c>
      <c r="C7" s="37" t="s">
        <v>295</v>
      </c>
    </row>
    <row r="8" customFormat="false" ht="15" hidden="false" customHeight="true" outlineLevel="0" collapsed="false">
      <c r="A8" s="14" t="s">
        <v>296</v>
      </c>
      <c r="B8" s="36" t="n">
        <v>12000</v>
      </c>
      <c r="C8" s="37" t="s">
        <v>297</v>
      </c>
    </row>
    <row r="9" customFormat="false" ht="15" hidden="false" customHeight="true" outlineLevel="0" collapsed="false">
      <c r="A9" s="14" t="s">
        <v>298</v>
      </c>
      <c r="B9" s="38" t="n">
        <v>0.1</v>
      </c>
      <c r="C9" s="37" t="s">
        <v>22</v>
      </c>
    </row>
    <row r="10" customFormat="false" ht="15" hidden="false" customHeight="true" outlineLevel="0" collapsed="false">
      <c r="A10" s="14" t="s">
        <v>299</v>
      </c>
      <c r="B10" s="36" t="n">
        <v>5</v>
      </c>
      <c r="C10" s="37" t="s">
        <v>300</v>
      </c>
    </row>
    <row r="11" customFormat="false" ht="15" hidden="false" customHeight="true" outlineLevel="0" collapsed="false">
      <c r="A11" s="14" t="s">
        <v>301</v>
      </c>
      <c r="B11" s="36" t="n">
        <v>50</v>
      </c>
      <c r="C11" s="37" t="s">
        <v>302</v>
      </c>
    </row>
    <row r="12" customFormat="false" ht="15" hidden="false" customHeight="true" outlineLevel="0" collapsed="false">
      <c r="A12" s="14" t="s">
        <v>303</v>
      </c>
      <c r="B12" s="36" t="n">
        <v>80</v>
      </c>
      <c r="C12" s="37" t="s">
        <v>302</v>
      </c>
    </row>
    <row r="13" customFormat="false" ht="15" hidden="false" customHeight="true" outlineLevel="0" collapsed="false">
      <c r="A13" s="14" t="s">
        <v>304</v>
      </c>
      <c r="B13" s="36" t="n">
        <v>1500000</v>
      </c>
      <c r="C13" s="37" t="s">
        <v>305</v>
      </c>
    </row>
    <row r="15" customFormat="false" ht="15" hidden="false" customHeight="true" outlineLevel="0" collapsed="false">
      <c r="A15" s="14" t="s">
        <v>39</v>
      </c>
      <c r="B15" s="39" t="s">
        <v>306</v>
      </c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 t="s">
        <v>307</v>
      </c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 t="s">
        <v>308</v>
      </c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</row>
    <row r="16" customFormat="false" ht="15" hidden="false" customHeight="true" outlineLevel="0" collapsed="false">
      <c r="A16" s="14" t="s">
        <v>43</v>
      </c>
      <c r="B16" s="40" t="s">
        <v>52</v>
      </c>
      <c r="C16" s="40" t="s">
        <v>53</v>
      </c>
      <c r="D16" s="40" t="s">
        <v>54</v>
      </c>
      <c r="E16" s="40" t="s">
        <v>55</v>
      </c>
      <c r="F16" s="40" t="s">
        <v>44</v>
      </c>
      <c r="G16" s="40" t="s">
        <v>45</v>
      </c>
      <c r="H16" s="40" t="s">
        <v>46</v>
      </c>
      <c r="I16" s="40" t="s">
        <v>47</v>
      </c>
      <c r="J16" s="40" t="s">
        <v>48</v>
      </c>
      <c r="K16" s="40" t="s">
        <v>49</v>
      </c>
      <c r="L16" s="40" t="s">
        <v>50</v>
      </c>
      <c r="M16" s="40" t="s">
        <v>51</v>
      </c>
      <c r="N16" s="40" t="s">
        <v>52</v>
      </c>
      <c r="O16" s="40" t="s">
        <v>53</v>
      </c>
      <c r="P16" s="40" t="s">
        <v>54</v>
      </c>
      <c r="Q16" s="40" t="s">
        <v>55</v>
      </c>
      <c r="R16" s="40" t="s">
        <v>44</v>
      </c>
      <c r="S16" s="40" t="s">
        <v>45</v>
      </c>
      <c r="T16" s="40" t="s">
        <v>46</v>
      </c>
      <c r="U16" s="40" t="s">
        <v>47</v>
      </c>
      <c r="V16" s="40" t="s">
        <v>48</v>
      </c>
      <c r="W16" s="40" t="s">
        <v>49</v>
      </c>
      <c r="X16" s="40" t="s">
        <v>50</v>
      </c>
      <c r="Y16" s="40" t="s">
        <v>51</v>
      </c>
      <c r="Z16" s="40" t="s">
        <v>52</v>
      </c>
      <c r="AA16" s="40" t="s">
        <v>53</v>
      </c>
      <c r="AB16" s="40" t="s">
        <v>54</v>
      </c>
      <c r="AC16" s="40" t="s">
        <v>55</v>
      </c>
      <c r="AD16" s="40" t="s">
        <v>44</v>
      </c>
      <c r="AE16" s="40" t="s">
        <v>45</v>
      </c>
      <c r="AF16" s="40" t="s">
        <v>46</v>
      </c>
      <c r="AG16" s="40" t="s">
        <v>47</v>
      </c>
      <c r="AH16" s="40" t="s">
        <v>48</v>
      </c>
      <c r="AI16" s="40" t="s">
        <v>49</v>
      </c>
      <c r="AJ16" s="40" t="s">
        <v>50</v>
      </c>
      <c r="AK16" s="40" t="s">
        <v>51</v>
      </c>
    </row>
    <row r="17" customFormat="false" ht="15" hidden="false" customHeight="true" outlineLevel="0" collapsed="false">
      <c r="A17" s="14" t="s">
        <v>309</v>
      </c>
      <c r="B17" s="41" t="n">
        <v>3</v>
      </c>
      <c r="C17" s="41" t="n">
        <v>4</v>
      </c>
      <c r="D17" s="41" t="n">
        <v>5</v>
      </c>
      <c r="E17" s="41" t="n">
        <v>6</v>
      </c>
      <c r="F17" s="41" t="n">
        <v>7</v>
      </c>
      <c r="G17" s="41" t="n">
        <v>8</v>
      </c>
      <c r="H17" s="41" t="n">
        <v>9</v>
      </c>
      <c r="I17" s="41" t="n">
        <v>10</v>
      </c>
      <c r="J17" s="41" t="n">
        <v>11</v>
      </c>
      <c r="K17" s="41" t="n">
        <v>12</v>
      </c>
      <c r="L17" s="41" t="n">
        <v>13</v>
      </c>
      <c r="M17" s="41" t="n">
        <v>14</v>
      </c>
      <c r="N17" s="41" t="n">
        <v>15</v>
      </c>
      <c r="O17" s="41" t="n">
        <v>16</v>
      </c>
      <c r="P17" s="41" t="n">
        <v>17</v>
      </c>
      <c r="Q17" s="41" t="n">
        <v>18</v>
      </c>
      <c r="R17" s="41" t="n">
        <v>19</v>
      </c>
      <c r="S17" s="41" t="n">
        <v>20</v>
      </c>
      <c r="T17" s="41" t="n">
        <v>21</v>
      </c>
      <c r="U17" s="41" t="n">
        <v>22</v>
      </c>
      <c r="V17" s="41" t="n">
        <v>23</v>
      </c>
      <c r="W17" s="41" t="n">
        <v>24</v>
      </c>
      <c r="X17" s="41" t="n">
        <v>25</v>
      </c>
      <c r="Y17" s="41" t="n">
        <v>26</v>
      </c>
      <c r="Z17" s="41" t="n">
        <v>27</v>
      </c>
      <c r="AA17" s="41" t="n">
        <v>28</v>
      </c>
      <c r="AB17" s="41" t="n">
        <v>29</v>
      </c>
      <c r="AC17" s="41" t="n">
        <v>30</v>
      </c>
      <c r="AD17" s="41" t="n">
        <v>31</v>
      </c>
      <c r="AE17" s="41" t="n">
        <v>32</v>
      </c>
      <c r="AF17" s="41" t="n">
        <v>33</v>
      </c>
      <c r="AG17" s="41" t="n">
        <v>34</v>
      </c>
      <c r="AH17" s="41" t="n">
        <v>35</v>
      </c>
      <c r="AI17" s="41" t="n">
        <v>36</v>
      </c>
      <c r="AJ17" s="41" t="n">
        <v>37</v>
      </c>
      <c r="AK17" s="41" t="n">
        <v>38</v>
      </c>
    </row>
    <row r="18" customFormat="false" ht="15" hidden="false" customHeight="true" outlineLevel="0" collapsed="false">
      <c r="A18" s="14" t="s">
        <v>310</v>
      </c>
      <c r="B18" s="42" t="n">
        <v>0</v>
      </c>
      <c r="C18" s="42" t="n">
        <v>0</v>
      </c>
      <c r="D18" s="42" t="n">
        <v>0</v>
      </c>
      <c r="E18" s="42" t="n">
        <v>0</v>
      </c>
      <c r="F18" s="42" t="n">
        <v>0</v>
      </c>
      <c r="G18" s="42" t="n">
        <v>0</v>
      </c>
      <c r="H18" s="42" t="n">
        <v>0</v>
      </c>
      <c r="I18" s="42" t="n">
        <v>0</v>
      </c>
      <c r="J18" s="42" t="n">
        <v>0</v>
      </c>
      <c r="K18" s="42" t="n">
        <v>0</v>
      </c>
      <c r="L18" s="42" t="n">
        <v>0</v>
      </c>
      <c r="M18" s="42" t="n">
        <v>0</v>
      </c>
      <c r="N18" s="42" t="n">
        <f aca="false">(B17+B18)*(1-$B$9)</f>
        <v>2.7</v>
      </c>
      <c r="O18" s="42" t="n">
        <f aca="false">(C17+C18)*(1-$B$9)</f>
        <v>3.6</v>
      </c>
      <c r="P18" s="42" t="n">
        <f aca="false">(D17+D18)*(1-$B$9)</f>
        <v>4.5</v>
      </c>
      <c r="Q18" s="42" t="n">
        <f aca="false">(E17+E18)*(1-$B$9)</f>
        <v>5.4</v>
      </c>
      <c r="R18" s="42" t="n">
        <f aca="false">(F17+F18)*(1-$B$9)</f>
        <v>6.3</v>
      </c>
      <c r="S18" s="42" t="n">
        <f aca="false">(G17+G18)*(1-$B$9)</f>
        <v>7.2</v>
      </c>
      <c r="T18" s="42" t="n">
        <f aca="false">(H17+H18)*(1-$B$9)</f>
        <v>8.1</v>
      </c>
      <c r="U18" s="42" t="n">
        <f aca="false">(I17+I18)*(1-$B$9)</f>
        <v>9</v>
      </c>
      <c r="V18" s="42" t="n">
        <f aca="false">(J17+J18)*(1-$B$9)</f>
        <v>9.9</v>
      </c>
      <c r="W18" s="42" t="n">
        <f aca="false">(K17+K18)*(1-$B$9)</f>
        <v>10.8</v>
      </c>
      <c r="X18" s="42" t="n">
        <f aca="false">(L17+L18)*(1-$B$9)</f>
        <v>11.7</v>
      </c>
      <c r="Y18" s="42" t="n">
        <f aca="false">(M17+M18)*(1-$B$9)</f>
        <v>12.6</v>
      </c>
      <c r="Z18" s="42" t="n">
        <f aca="false">(N17+N18)*(1-$B$9)</f>
        <v>15.93</v>
      </c>
      <c r="AA18" s="42" t="n">
        <f aca="false">(O17+O18)*(1-$B$9)</f>
        <v>17.64</v>
      </c>
      <c r="AB18" s="42" t="n">
        <f aca="false">(P17+P18)*(1-$B$9)</f>
        <v>19.35</v>
      </c>
      <c r="AC18" s="42" t="n">
        <f aca="false">(Q17+Q18)*(1-$B$9)</f>
        <v>21.06</v>
      </c>
      <c r="AD18" s="42" t="n">
        <f aca="false">(R17+R18)*(1-$B$9)</f>
        <v>22.77</v>
      </c>
      <c r="AE18" s="42" t="n">
        <f aca="false">(S17+S18)*(1-$B$9)</f>
        <v>24.48</v>
      </c>
      <c r="AF18" s="42" t="n">
        <f aca="false">(T17+T18)*(1-$B$9)</f>
        <v>26.19</v>
      </c>
      <c r="AG18" s="42" t="n">
        <f aca="false">(U17+U18)*(1-$B$9)</f>
        <v>27.9</v>
      </c>
      <c r="AH18" s="42" t="n">
        <f aca="false">(V17+V18)*(1-$B$9)</f>
        <v>29.61</v>
      </c>
      <c r="AI18" s="42" t="n">
        <f aca="false">(W17+W18)*(1-$B$9)</f>
        <v>31.32</v>
      </c>
      <c r="AJ18" s="42" t="n">
        <f aca="false">(X17+X18)*(1-$B$9)</f>
        <v>33.03</v>
      </c>
      <c r="AK18" s="42" t="n">
        <f aca="false">(Y17+Y18)*(1-$B$9)</f>
        <v>34.74</v>
      </c>
    </row>
    <row r="19" customFormat="false" ht="15" hidden="false" customHeight="true" outlineLevel="0" collapsed="false">
      <c r="A19" s="14" t="s">
        <v>311</v>
      </c>
      <c r="B19" s="42" t="n">
        <f aca="false">B17+B18</f>
        <v>3</v>
      </c>
      <c r="C19" s="42" t="n">
        <f aca="false">B19+C17</f>
        <v>7</v>
      </c>
      <c r="D19" s="42" t="n">
        <f aca="false">C19+D17</f>
        <v>12</v>
      </c>
      <c r="E19" s="42" t="n">
        <f aca="false">D19+E17</f>
        <v>18</v>
      </c>
      <c r="F19" s="42" t="n">
        <f aca="false">E19+F17</f>
        <v>25</v>
      </c>
      <c r="G19" s="42" t="n">
        <f aca="false">F19+G17</f>
        <v>33</v>
      </c>
      <c r="H19" s="42" t="n">
        <f aca="false">G19+H17</f>
        <v>42</v>
      </c>
      <c r="I19" s="42" t="n">
        <f aca="false">H19+I17</f>
        <v>52</v>
      </c>
      <c r="J19" s="42" t="n">
        <f aca="false">I19+J17</f>
        <v>63</v>
      </c>
      <c r="K19" s="42" t="n">
        <f aca="false">J19+K17</f>
        <v>75</v>
      </c>
      <c r="L19" s="42" t="n">
        <f aca="false">K19+L17</f>
        <v>88</v>
      </c>
      <c r="M19" s="42" t="n">
        <f aca="false">L19+M17</f>
        <v>102</v>
      </c>
      <c r="N19" s="42" t="n">
        <f aca="false">M19+N17-(B17+B18)*$B$9</f>
        <v>116.7</v>
      </c>
      <c r="O19" s="42" t="n">
        <f aca="false">N19+O17-(C17+C18)*$B$9</f>
        <v>132.3</v>
      </c>
      <c r="P19" s="42" t="n">
        <f aca="false">O19+P17-(D17+D18)*$B$9</f>
        <v>148.8</v>
      </c>
      <c r="Q19" s="42" t="n">
        <f aca="false">P19+Q17-(E17+E18)*$B$9</f>
        <v>166.2</v>
      </c>
      <c r="R19" s="42" t="n">
        <f aca="false">Q19+R17-(F17+F18)*$B$9</f>
        <v>184.5</v>
      </c>
      <c r="S19" s="42" t="n">
        <f aca="false">R19+S17-(G17+G18)*$B$9</f>
        <v>203.7</v>
      </c>
      <c r="T19" s="42" t="n">
        <f aca="false">S19+T17-(H17+H18)*$B$9</f>
        <v>223.8</v>
      </c>
      <c r="U19" s="42" t="n">
        <f aca="false">T19+U17-(I17+I18)*$B$9</f>
        <v>244.8</v>
      </c>
      <c r="V19" s="42" t="n">
        <f aca="false">U19+V17-(J17+J18)*$B$9</f>
        <v>266.7</v>
      </c>
      <c r="W19" s="42" t="n">
        <f aca="false">V19+W17-(K17+K18)*$B$9</f>
        <v>289.5</v>
      </c>
      <c r="X19" s="42" t="n">
        <f aca="false">W19+X17-(L17+L18)*$B$9</f>
        <v>313.2</v>
      </c>
      <c r="Y19" s="42" t="n">
        <f aca="false">X19+Y17-(M17+M18)*$B$9</f>
        <v>337.8</v>
      </c>
      <c r="Z19" s="42" t="n">
        <f aca="false">Y19+Z17-(N17+N18)*$B$9</f>
        <v>363.03</v>
      </c>
      <c r="AA19" s="42" t="n">
        <f aca="false">Z19+AA17-(O17+O18)*$B$9</f>
        <v>389.07</v>
      </c>
      <c r="AB19" s="42" t="n">
        <f aca="false">AA19+AB17-(P17+P18)*$B$9</f>
        <v>415.92</v>
      </c>
      <c r="AC19" s="42" t="n">
        <f aca="false">AB19+AC17-(Q17+Q18)*$B$9</f>
        <v>443.58</v>
      </c>
      <c r="AD19" s="42" t="n">
        <f aca="false">AC19+AD17-(R17+R18)*$B$9</f>
        <v>472.05</v>
      </c>
      <c r="AE19" s="42" t="n">
        <f aca="false">AD19+AE17-(S17+S18)*$B$9</f>
        <v>501.33</v>
      </c>
      <c r="AF19" s="42" t="n">
        <f aca="false">AE19+AF17-(T17+T18)*$B$9</f>
        <v>531.42</v>
      </c>
      <c r="AG19" s="42" t="n">
        <f aca="false">AF19+AG17-(U17+U18)*$B$9</f>
        <v>562.32</v>
      </c>
      <c r="AH19" s="42" t="n">
        <f aca="false">AG19+AH17-(V17+V18)*$B$9</f>
        <v>594.03</v>
      </c>
      <c r="AI19" s="42" t="n">
        <f aca="false">AH19+AI17-(W17+W18)*$B$9</f>
        <v>626.55</v>
      </c>
      <c r="AJ19" s="42" t="n">
        <f aca="false">AI19+AJ17-(X17+X18)*$B$9</f>
        <v>659.88</v>
      </c>
      <c r="AK19" s="42" t="n">
        <f aca="false">AJ19+AK17-(Y17+Y18)*$B$9</f>
        <v>694.02</v>
      </c>
    </row>
    <row r="20" customFormat="false" ht="15" hidden="false" customHeight="true" outlineLevel="0" collapsed="false">
      <c r="A20" s="14" t="s">
        <v>312</v>
      </c>
      <c r="B20" s="43" t="n">
        <f aca="false">B19*$B$8/12</f>
        <v>3000</v>
      </c>
      <c r="C20" s="43" t="n">
        <f aca="false">C19*$B$8/12</f>
        <v>7000</v>
      </c>
      <c r="D20" s="43" t="n">
        <f aca="false">D19*$B$8/12</f>
        <v>12000</v>
      </c>
      <c r="E20" s="43" t="n">
        <f aca="false">E19*$B$8/12</f>
        <v>18000</v>
      </c>
      <c r="F20" s="43" t="n">
        <f aca="false">F19*$B$8/12</f>
        <v>25000</v>
      </c>
      <c r="G20" s="43" t="n">
        <f aca="false">G19*$B$8/12</f>
        <v>33000</v>
      </c>
      <c r="H20" s="43" t="n">
        <f aca="false">H19*$B$8/12</f>
        <v>42000</v>
      </c>
      <c r="I20" s="43" t="n">
        <f aca="false">I19*$B$8/12</f>
        <v>52000</v>
      </c>
      <c r="J20" s="43" t="n">
        <f aca="false">J19*$B$8/12</f>
        <v>63000</v>
      </c>
      <c r="K20" s="43" t="n">
        <f aca="false">K19*$B$8/12</f>
        <v>75000</v>
      </c>
      <c r="L20" s="43" t="n">
        <f aca="false">L19*$B$8/12</f>
        <v>88000</v>
      </c>
      <c r="M20" s="43" t="n">
        <f aca="false">M19*$B$8/12</f>
        <v>102000</v>
      </c>
      <c r="N20" s="43" t="n">
        <f aca="false">N19*$B$8/12</f>
        <v>116700</v>
      </c>
      <c r="O20" s="43" t="n">
        <f aca="false">O19*$B$8/12</f>
        <v>132300</v>
      </c>
      <c r="P20" s="43" t="n">
        <f aca="false">P19*$B$8/12</f>
        <v>148800</v>
      </c>
      <c r="Q20" s="43" t="n">
        <f aca="false">Q19*$B$8/12</f>
        <v>166200</v>
      </c>
      <c r="R20" s="43" t="n">
        <f aca="false">R19*$B$8/12</f>
        <v>184500</v>
      </c>
      <c r="S20" s="43" t="n">
        <f aca="false">S19*$B$8/12</f>
        <v>203700</v>
      </c>
      <c r="T20" s="43" t="n">
        <f aca="false">T19*$B$8/12</f>
        <v>223800</v>
      </c>
      <c r="U20" s="43" t="n">
        <f aca="false">U19*$B$8/12</f>
        <v>244800</v>
      </c>
      <c r="V20" s="43" t="n">
        <f aca="false">V19*$B$8/12</f>
        <v>266700</v>
      </c>
      <c r="W20" s="43" t="n">
        <f aca="false">W19*$B$8/12</f>
        <v>289500</v>
      </c>
      <c r="X20" s="43" t="n">
        <f aca="false">X19*$B$8/12</f>
        <v>313200</v>
      </c>
      <c r="Y20" s="43" t="n">
        <f aca="false">Y19*$B$8/12</f>
        <v>337800</v>
      </c>
      <c r="Z20" s="43" t="n">
        <f aca="false">Z19*$B$8/12</f>
        <v>363030</v>
      </c>
      <c r="AA20" s="43" t="n">
        <f aca="false">AA19*$B$8/12</f>
        <v>389070</v>
      </c>
      <c r="AB20" s="43" t="n">
        <f aca="false">AB19*$B$8/12</f>
        <v>415920</v>
      </c>
      <c r="AC20" s="43" t="n">
        <f aca="false">AC19*$B$8/12</f>
        <v>443580</v>
      </c>
      <c r="AD20" s="43" t="n">
        <f aca="false">AD19*$B$8/12</f>
        <v>472050</v>
      </c>
      <c r="AE20" s="43" t="n">
        <f aca="false">AE19*$B$8/12</f>
        <v>501330</v>
      </c>
      <c r="AF20" s="43" t="n">
        <f aca="false">AF19*$B$8/12</f>
        <v>531420</v>
      </c>
      <c r="AG20" s="43" t="n">
        <f aca="false">AG19*$B$8/12</f>
        <v>562320</v>
      </c>
      <c r="AH20" s="43" t="n">
        <f aca="false">AH19*$B$8/12</f>
        <v>594030</v>
      </c>
      <c r="AI20" s="43" t="n">
        <f aca="false">AI19*$B$8/12</f>
        <v>626550</v>
      </c>
      <c r="AJ20" s="43" t="n">
        <f aca="false">AJ19*$B$8/12</f>
        <v>659880</v>
      </c>
      <c r="AK20" s="43" t="n">
        <f aca="false">AK19*$B$8/12</f>
        <v>694020</v>
      </c>
    </row>
    <row r="21" customFormat="false" ht="15" hidden="false" customHeight="true" outlineLevel="0" collapsed="false">
      <c r="A21" s="14" t="s">
        <v>313</v>
      </c>
      <c r="B21" s="42" t="n">
        <f aca="false">IF(B17=0,0,CEILING(B17/$B$10,1))</f>
        <v>1</v>
      </c>
      <c r="C21" s="42" t="n">
        <f aca="false">IF(C17=0,0,CEILING(C17/$B$10,1))</f>
        <v>1</v>
      </c>
      <c r="D21" s="42" t="n">
        <f aca="false">IF(D17=0,0,CEILING(D17/$B$10,1))</f>
        <v>1</v>
      </c>
      <c r="E21" s="42" t="n">
        <f aca="false">IF(E17=0,0,CEILING(E17/$B$10,1))</f>
        <v>2</v>
      </c>
      <c r="F21" s="42" t="n">
        <f aca="false">IF(F17=0,0,CEILING(F17/$B$10,1))</f>
        <v>2</v>
      </c>
      <c r="G21" s="42" t="n">
        <f aca="false">IF(G17=0,0,CEILING(G17/$B$10,1))</f>
        <v>2</v>
      </c>
      <c r="H21" s="42" t="n">
        <f aca="false">IF(H17=0,0,CEILING(H17/$B$10,1))</f>
        <v>2</v>
      </c>
      <c r="I21" s="42" t="n">
        <f aca="false">IF(I17=0,0,CEILING(I17/$B$10,1))</f>
        <v>2</v>
      </c>
      <c r="J21" s="42" t="n">
        <f aca="false">IF(J17=0,0,CEILING(J17/$B$10,1))</f>
        <v>3</v>
      </c>
      <c r="K21" s="42" t="n">
        <f aca="false">IF(K17=0,0,CEILING(K17/$B$10,1))</f>
        <v>3</v>
      </c>
      <c r="L21" s="42" t="n">
        <f aca="false">IF(L17=0,0,CEILING(L17/$B$10,1))</f>
        <v>3</v>
      </c>
      <c r="M21" s="42" t="n">
        <f aca="false">IF(M17=0,0,CEILING(M17/$B$10,1))</f>
        <v>3</v>
      </c>
      <c r="N21" s="42" t="n">
        <f aca="false">IF(N17=0,0,CEILING(N17/$B$10,1))</f>
        <v>3</v>
      </c>
      <c r="O21" s="42" t="n">
        <f aca="false">IF(O17=0,0,CEILING(O17/$B$10,1))</f>
        <v>4</v>
      </c>
      <c r="P21" s="42" t="n">
        <f aca="false">IF(P17=0,0,CEILING(P17/$B$10,1))</f>
        <v>4</v>
      </c>
      <c r="Q21" s="42" t="n">
        <f aca="false">IF(Q17=0,0,CEILING(Q17/$B$10,1))</f>
        <v>4</v>
      </c>
      <c r="R21" s="42" t="n">
        <f aca="false">IF(R17=0,0,CEILING(R17/$B$10,1))</f>
        <v>4</v>
      </c>
      <c r="S21" s="42" t="n">
        <f aca="false">IF(S17=0,0,CEILING(S17/$B$10,1))</f>
        <v>4</v>
      </c>
      <c r="T21" s="42" t="n">
        <f aca="false">IF(T17=0,0,CEILING(T17/$B$10,1))</f>
        <v>5</v>
      </c>
      <c r="U21" s="42" t="n">
        <f aca="false">IF(U17=0,0,CEILING(U17/$B$10,1))</f>
        <v>5</v>
      </c>
      <c r="V21" s="42" t="n">
        <f aca="false">IF(V17=0,0,CEILING(V17/$B$10,1))</f>
        <v>5</v>
      </c>
      <c r="W21" s="42" t="n">
        <f aca="false">IF(W17=0,0,CEILING(W17/$B$10,1))</f>
        <v>5</v>
      </c>
      <c r="X21" s="42" t="n">
        <f aca="false">IF(X17=0,0,CEILING(X17/$B$10,1))</f>
        <v>5</v>
      </c>
      <c r="Y21" s="42" t="n">
        <f aca="false">IF(Y17=0,0,CEILING(Y17/$B$10,1))</f>
        <v>6</v>
      </c>
      <c r="Z21" s="42" t="n">
        <f aca="false">IF(Z17=0,0,CEILING(Z17/$B$10,1))</f>
        <v>6</v>
      </c>
      <c r="AA21" s="42" t="n">
        <f aca="false">IF(AA17=0,0,CEILING(AA17/$B$10,1))</f>
        <v>6</v>
      </c>
      <c r="AB21" s="42" t="n">
        <f aca="false">IF(AB17=0,0,CEILING(AB17/$B$10,1))</f>
        <v>6</v>
      </c>
      <c r="AC21" s="42" t="n">
        <f aca="false">IF(AC17=0,0,CEILING(AC17/$B$10,1))</f>
        <v>6</v>
      </c>
      <c r="AD21" s="42" t="n">
        <f aca="false">IF(AD17=0,0,CEILING(AD17/$B$10,1))</f>
        <v>7</v>
      </c>
      <c r="AE21" s="42" t="n">
        <f aca="false">IF(AE17=0,0,CEILING(AE17/$B$10,1))</f>
        <v>7</v>
      </c>
      <c r="AF21" s="42" t="n">
        <f aca="false">IF(AF17=0,0,CEILING(AF17/$B$10,1))</f>
        <v>7</v>
      </c>
      <c r="AG21" s="42" t="n">
        <f aca="false">IF(AG17=0,0,CEILING(AG17/$B$10,1))</f>
        <v>7</v>
      </c>
      <c r="AH21" s="42" t="n">
        <f aca="false">IF(AH17=0,0,CEILING(AH17/$B$10,1))</f>
        <v>7</v>
      </c>
      <c r="AI21" s="42" t="n">
        <f aca="false">IF(AI17=0,0,CEILING(AI17/$B$10,1))</f>
        <v>8</v>
      </c>
      <c r="AJ21" s="42" t="n">
        <f aca="false">IF(AJ17=0,0,CEILING(AJ17/$B$10,1))</f>
        <v>8</v>
      </c>
      <c r="AK21" s="42" t="n">
        <f aca="false">IF(AK17=0,0,CEILING(AK17/$B$10,1))</f>
        <v>8</v>
      </c>
    </row>
    <row r="22" customFormat="false" ht="15" hidden="false" customHeight="true" outlineLevel="0" collapsed="false">
      <c r="A22" s="14" t="s">
        <v>314</v>
      </c>
      <c r="B22" s="42" t="n">
        <v>0</v>
      </c>
      <c r="C22" s="42" t="n">
        <f aca="false">IF(B19=0,0,CEILING(B19/$B$11,1))</f>
        <v>1</v>
      </c>
      <c r="D22" s="42" t="n">
        <f aca="false">IF(C19=0,0,CEILING(C19/$B$11,1))</f>
        <v>1</v>
      </c>
      <c r="E22" s="42" t="n">
        <f aca="false">IF(D19=0,0,CEILING(D19/$B$11,1))</f>
        <v>1</v>
      </c>
      <c r="F22" s="42" t="n">
        <f aca="false">IF(E19=0,0,CEILING(E19/$B$11,1))</f>
        <v>1</v>
      </c>
      <c r="G22" s="42" t="n">
        <f aca="false">IF(F19=0,0,CEILING(F19/$B$11,1))</f>
        <v>1</v>
      </c>
      <c r="H22" s="42" t="n">
        <f aca="false">IF(G19=0,0,CEILING(G19/$B$11,1))</f>
        <v>1</v>
      </c>
      <c r="I22" s="42" t="n">
        <f aca="false">IF(H19=0,0,CEILING(H19/$B$11,1))</f>
        <v>1</v>
      </c>
      <c r="J22" s="42" t="n">
        <f aca="false">IF(I19=0,0,CEILING(I19/$B$11,1))</f>
        <v>2</v>
      </c>
      <c r="K22" s="42" t="n">
        <f aca="false">IF(J19=0,0,CEILING(J19/$B$11,1))</f>
        <v>2</v>
      </c>
      <c r="L22" s="42" t="n">
        <f aca="false">IF(K19=0,0,CEILING(K19/$B$11,1))</f>
        <v>2</v>
      </c>
      <c r="M22" s="42" t="n">
        <f aca="false">IF(L19=0,0,CEILING(L19/$B$11,1))</f>
        <v>2</v>
      </c>
      <c r="N22" s="42" t="n">
        <f aca="false">IF(M19=0,0,CEILING(M19/$B$11,1))</f>
        <v>3</v>
      </c>
      <c r="O22" s="42" t="n">
        <f aca="false">IF(N19=0,0,CEILING(N19/$B$11,1))</f>
        <v>3</v>
      </c>
      <c r="P22" s="42" t="n">
        <f aca="false">IF(O19=0,0,CEILING(O19/$B$11,1))</f>
        <v>3</v>
      </c>
      <c r="Q22" s="42" t="n">
        <f aca="false">IF(P19=0,0,CEILING(P19/$B$11,1))</f>
        <v>3</v>
      </c>
      <c r="R22" s="42" t="n">
        <f aca="false">IF(Q19=0,0,CEILING(Q19/$B$11,1))</f>
        <v>4</v>
      </c>
      <c r="S22" s="42" t="n">
        <f aca="false">IF(R19=0,0,CEILING(R19/$B$11,1))</f>
        <v>4</v>
      </c>
      <c r="T22" s="42" t="n">
        <f aca="false">IF(S19=0,0,CEILING(S19/$B$11,1))</f>
        <v>5</v>
      </c>
      <c r="U22" s="42" t="n">
        <f aca="false">IF(T19=0,0,CEILING(T19/$B$11,1))</f>
        <v>5</v>
      </c>
      <c r="V22" s="42" t="n">
        <f aca="false">IF(U19=0,0,CEILING(U19/$B$11,1))</f>
        <v>5</v>
      </c>
      <c r="W22" s="42" t="n">
        <f aca="false">IF(V19=0,0,CEILING(V19/$B$11,1))</f>
        <v>6</v>
      </c>
      <c r="X22" s="42" t="n">
        <f aca="false">IF(W19=0,0,CEILING(W19/$B$11,1))</f>
        <v>6</v>
      </c>
      <c r="Y22" s="42" t="n">
        <f aca="false">IF(X19=0,0,CEILING(X19/$B$11,1))</f>
        <v>7</v>
      </c>
      <c r="Z22" s="42" t="n">
        <f aca="false">IF(Y19=0,0,CEILING(Y19/$B$11,1))</f>
        <v>7</v>
      </c>
      <c r="AA22" s="42" t="n">
        <f aca="false">IF(Z19=0,0,CEILING(Z19/$B$11,1))</f>
        <v>8</v>
      </c>
      <c r="AB22" s="42" t="n">
        <f aca="false">IF(AA19=0,0,CEILING(AA19/$B$11,1))</f>
        <v>8</v>
      </c>
      <c r="AC22" s="42" t="n">
        <f aca="false">IF(AB19=0,0,CEILING(AB19/$B$11,1))</f>
        <v>9</v>
      </c>
      <c r="AD22" s="42" t="n">
        <f aca="false">IF(AC19=0,0,CEILING(AC19/$B$11,1))</f>
        <v>9</v>
      </c>
      <c r="AE22" s="42" t="n">
        <f aca="false">IF(AD19=0,0,CEILING(AD19/$B$11,1))</f>
        <v>10</v>
      </c>
      <c r="AF22" s="42" t="n">
        <f aca="false">IF(AE19=0,0,CEILING(AE19/$B$11,1))</f>
        <v>11</v>
      </c>
      <c r="AG22" s="42" t="n">
        <f aca="false">IF(AF19=0,0,CEILING(AF19/$B$11,1))</f>
        <v>11</v>
      </c>
      <c r="AH22" s="42" t="n">
        <f aca="false">IF(AG19=0,0,CEILING(AG19/$B$11,1))</f>
        <v>12</v>
      </c>
      <c r="AI22" s="42" t="n">
        <f aca="false">IF(AH19=0,0,CEILING(AH19/$B$11,1))</f>
        <v>12</v>
      </c>
      <c r="AJ22" s="42" t="n">
        <f aca="false">IF(AI19=0,0,CEILING(AI19/$B$11,1))</f>
        <v>13</v>
      </c>
      <c r="AK22" s="42" t="n">
        <f aca="false">IF(AJ19=0,0,CEILING(AJ19/$B$11,1))</f>
        <v>14</v>
      </c>
    </row>
    <row r="23" customFormat="false" ht="15" hidden="false" customHeight="true" outlineLevel="0" collapsed="false">
      <c r="A23" s="14" t="s">
        <v>315</v>
      </c>
      <c r="B23" s="41" t="n">
        <v>2</v>
      </c>
      <c r="C23" s="41" t="n">
        <v>2</v>
      </c>
      <c r="D23" s="41" t="n">
        <v>2</v>
      </c>
      <c r="E23" s="41" t="n">
        <v>2</v>
      </c>
      <c r="F23" s="41" t="n">
        <v>2</v>
      </c>
      <c r="G23" s="41" t="n">
        <v>2</v>
      </c>
      <c r="H23" s="41" t="n">
        <v>2</v>
      </c>
      <c r="I23" s="41" t="n">
        <v>2</v>
      </c>
      <c r="J23" s="41" t="n">
        <v>2</v>
      </c>
      <c r="K23" s="41" t="n">
        <v>2</v>
      </c>
      <c r="L23" s="41" t="n">
        <v>2</v>
      </c>
      <c r="M23" s="41" t="n">
        <v>2</v>
      </c>
      <c r="N23" s="41" t="n">
        <v>3</v>
      </c>
      <c r="O23" s="41" t="n">
        <v>3</v>
      </c>
      <c r="P23" s="41" t="n">
        <v>3</v>
      </c>
      <c r="Q23" s="41" t="n">
        <v>3</v>
      </c>
      <c r="R23" s="41" t="n">
        <v>3</v>
      </c>
      <c r="S23" s="41" t="n">
        <v>3</v>
      </c>
      <c r="T23" s="41" t="n">
        <v>3</v>
      </c>
      <c r="U23" s="41" t="n">
        <v>3</v>
      </c>
      <c r="V23" s="41" t="n">
        <v>3</v>
      </c>
      <c r="W23" s="41" t="n">
        <v>3</v>
      </c>
      <c r="X23" s="41" t="n">
        <v>3</v>
      </c>
      <c r="Y23" s="41" t="n">
        <v>3</v>
      </c>
      <c r="Z23" s="41" t="n">
        <v>4</v>
      </c>
      <c r="AA23" s="41" t="n">
        <v>4</v>
      </c>
      <c r="AB23" s="41" t="n">
        <v>4</v>
      </c>
      <c r="AC23" s="41" t="n">
        <v>4</v>
      </c>
      <c r="AD23" s="41" t="n">
        <v>4</v>
      </c>
      <c r="AE23" s="41" t="n">
        <v>4</v>
      </c>
      <c r="AF23" s="41" t="n">
        <v>4</v>
      </c>
      <c r="AG23" s="41" t="n">
        <v>4</v>
      </c>
      <c r="AH23" s="41" t="n">
        <v>4</v>
      </c>
      <c r="AI23" s="41" t="n">
        <v>4</v>
      </c>
      <c r="AJ23" s="41" t="n">
        <v>4</v>
      </c>
      <c r="AK23" s="41" t="n">
        <v>4</v>
      </c>
    </row>
    <row r="24" customFormat="false" ht="15" hidden="false" customHeight="true" outlineLevel="0" collapsed="false">
      <c r="A24" s="14" t="s">
        <v>316</v>
      </c>
      <c r="B24" s="41" t="n">
        <v>2</v>
      </c>
      <c r="C24" s="41" t="n">
        <v>2</v>
      </c>
      <c r="D24" s="41" t="n">
        <v>2</v>
      </c>
      <c r="E24" s="41" t="n">
        <v>2</v>
      </c>
      <c r="F24" s="41" t="n">
        <v>2</v>
      </c>
      <c r="G24" s="41" t="n">
        <v>2</v>
      </c>
      <c r="H24" s="41" t="n">
        <v>2</v>
      </c>
      <c r="I24" s="41" t="n">
        <v>2</v>
      </c>
      <c r="J24" s="41" t="n">
        <v>2</v>
      </c>
      <c r="K24" s="41" t="n">
        <v>2</v>
      </c>
      <c r="L24" s="41" t="n">
        <v>2</v>
      </c>
      <c r="M24" s="41" t="n">
        <v>2</v>
      </c>
      <c r="N24" s="41" t="n">
        <v>2</v>
      </c>
      <c r="O24" s="41" t="n">
        <v>2</v>
      </c>
      <c r="P24" s="41" t="n">
        <v>2</v>
      </c>
      <c r="Q24" s="41" t="n">
        <v>2</v>
      </c>
      <c r="R24" s="41" t="n">
        <v>2</v>
      </c>
      <c r="S24" s="41" t="n">
        <v>2</v>
      </c>
      <c r="T24" s="41" t="n">
        <v>2</v>
      </c>
      <c r="U24" s="41" t="n">
        <v>2</v>
      </c>
      <c r="V24" s="41" t="n">
        <v>2</v>
      </c>
      <c r="W24" s="41" t="n">
        <v>2</v>
      </c>
      <c r="X24" s="41" t="n">
        <v>2</v>
      </c>
      <c r="Y24" s="41" t="n">
        <v>2</v>
      </c>
      <c r="Z24" s="41" t="n">
        <v>2</v>
      </c>
      <c r="AA24" s="41" t="n">
        <v>2</v>
      </c>
      <c r="AB24" s="41" t="n">
        <v>2</v>
      </c>
      <c r="AC24" s="41" t="n">
        <v>2</v>
      </c>
      <c r="AD24" s="41" t="n">
        <v>2</v>
      </c>
      <c r="AE24" s="41" t="n">
        <v>2</v>
      </c>
      <c r="AF24" s="41" t="n">
        <v>2</v>
      </c>
      <c r="AG24" s="41" t="n">
        <v>2</v>
      </c>
      <c r="AH24" s="41" t="n">
        <v>2</v>
      </c>
      <c r="AI24" s="41" t="n">
        <v>2</v>
      </c>
      <c r="AJ24" s="41" t="n">
        <v>2</v>
      </c>
      <c r="AK24" s="41" t="n">
        <v>2</v>
      </c>
    </row>
    <row r="25" customFormat="false" ht="15" hidden="false" customHeight="true" outlineLevel="0" collapsed="false">
      <c r="A25" s="14" t="s">
        <v>317</v>
      </c>
      <c r="B25" s="42" t="n">
        <v>0</v>
      </c>
      <c r="C25" s="42" t="n">
        <f aca="false">IF(B19=0,0,CEILING(B19/$B$12,1))</f>
        <v>1</v>
      </c>
      <c r="D25" s="42" t="n">
        <f aca="false">IF(C19=0,0,CEILING(C19/$B$12,1))</f>
        <v>1</v>
      </c>
      <c r="E25" s="42" t="n">
        <f aca="false">IF(D19=0,0,CEILING(D19/$B$12,1))</f>
        <v>1</v>
      </c>
      <c r="F25" s="42" t="n">
        <f aca="false">IF(E19=0,0,CEILING(E19/$B$12,1))</f>
        <v>1</v>
      </c>
      <c r="G25" s="42" t="n">
        <f aca="false">IF(F19=0,0,CEILING(F19/$B$12,1))</f>
        <v>1</v>
      </c>
      <c r="H25" s="42" t="n">
        <f aca="false">IF(G19=0,0,CEILING(G19/$B$12,1))</f>
        <v>1</v>
      </c>
      <c r="I25" s="42" t="n">
        <f aca="false">IF(H19=0,0,CEILING(H19/$B$12,1))</f>
        <v>1</v>
      </c>
      <c r="J25" s="42" t="n">
        <f aca="false">IF(I19=0,0,CEILING(I19/$B$12,1))</f>
        <v>1</v>
      </c>
      <c r="K25" s="42" t="n">
        <f aca="false">IF(J19=0,0,CEILING(J19/$B$12,1))</f>
        <v>1</v>
      </c>
      <c r="L25" s="42" t="n">
        <f aca="false">IF(K19=0,0,CEILING(K19/$B$12,1))</f>
        <v>1</v>
      </c>
      <c r="M25" s="42" t="n">
        <f aca="false">IF(L19=0,0,CEILING(L19/$B$12,1))</f>
        <v>2</v>
      </c>
      <c r="N25" s="42" t="n">
        <f aca="false">IF(M19=0,0,CEILING(M19/$B$12,1))</f>
        <v>2</v>
      </c>
      <c r="O25" s="42" t="n">
        <f aca="false">IF(N19=0,0,CEILING(N19/$B$12,1))</f>
        <v>2</v>
      </c>
      <c r="P25" s="42" t="n">
        <f aca="false">IF(O19=0,0,CEILING(O19/$B$12,1))</f>
        <v>2</v>
      </c>
      <c r="Q25" s="42" t="n">
        <f aca="false">IF(P19=0,0,CEILING(P19/$B$12,1))</f>
        <v>2</v>
      </c>
      <c r="R25" s="42" t="n">
        <f aca="false">IF(Q19=0,0,CEILING(Q19/$B$12,1))</f>
        <v>3</v>
      </c>
      <c r="S25" s="42" t="n">
        <f aca="false">IF(R19=0,0,CEILING(R19/$B$12,1))</f>
        <v>3</v>
      </c>
      <c r="T25" s="42" t="n">
        <f aca="false">IF(S19=0,0,CEILING(S19/$B$12,1))</f>
        <v>3</v>
      </c>
      <c r="U25" s="42" t="n">
        <f aca="false">IF(T19=0,0,CEILING(T19/$B$12,1))</f>
        <v>3</v>
      </c>
      <c r="V25" s="42" t="n">
        <f aca="false">IF(U19=0,0,CEILING(U19/$B$12,1))</f>
        <v>4</v>
      </c>
      <c r="W25" s="42" t="n">
        <f aca="false">IF(V19=0,0,CEILING(V19/$B$12,1))</f>
        <v>4</v>
      </c>
      <c r="X25" s="42" t="n">
        <f aca="false">IF(W19=0,0,CEILING(W19/$B$12,1))</f>
        <v>4</v>
      </c>
      <c r="Y25" s="42" t="n">
        <f aca="false">IF(X19=0,0,CEILING(X19/$B$12,1))</f>
        <v>4</v>
      </c>
      <c r="Z25" s="42" t="n">
        <f aca="false">IF(Y19=0,0,CEILING(Y19/$B$12,1))</f>
        <v>5</v>
      </c>
      <c r="AA25" s="42" t="n">
        <f aca="false">IF(Z19=0,0,CEILING(Z19/$B$12,1))</f>
        <v>5</v>
      </c>
      <c r="AB25" s="42" t="n">
        <f aca="false">IF(AA19=0,0,CEILING(AA19/$B$12,1))</f>
        <v>5</v>
      </c>
      <c r="AC25" s="42" t="n">
        <f aca="false">IF(AB19=0,0,CEILING(AB19/$B$12,1))</f>
        <v>6</v>
      </c>
      <c r="AD25" s="42" t="n">
        <f aca="false">IF(AC19=0,0,CEILING(AC19/$B$12,1))</f>
        <v>6</v>
      </c>
      <c r="AE25" s="42" t="n">
        <f aca="false">IF(AD19=0,0,CEILING(AD19/$B$12,1))</f>
        <v>6</v>
      </c>
      <c r="AF25" s="42" t="n">
        <f aca="false">IF(AE19=0,0,CEILING(AE19/$B$12,1))</f>
        <v>7</v>
      </c>
      <c r="AG25" s="42" t="n">
        <f aca="false">IF(AF19=0,0,CEILING(AF19/$B$12,1))</f>
        <v>7</v>
      </c>
      <c r="AH25" s="42" t="n">
        <f aca="false">IF(AG19=0,0,CEILING(AG19/$B$12,1))</f>
        <v>8</v>
      </c>
      <c r="AI25" s="42" t="n">
        <f aca="false">IF(AH19=0,0,CEILING(AH19/$B$12,1))</f>
        <v>8</v>
      </c>
      <c r="AJ25" s="42" t="n">
        <f aca="false">IF(AI19=0,0,CEILING(AI19/$B$12,1))</f>
        <v>8</v>
      </c>
      <c r="AK25" s="42" t="n">
        <f aca="false">IF(AJ19=0,0,CEILING(AJ19/$B$12,1))</f>
        <v>9</v>
      </c>
    </row>
    <row r="26" customFormat="false" ht="15" hidden="false" customHeight="true" outlineLevel="0" collapsed="false">
      <c r="A26" s="14" t="s">
        <v>318</v>
      </c>
      <c r="B26" s="41" t="n">
        <v>0</v>
      </c>
      <c r="C26" s="41" t="n">
        <v>0</v>
      </c>
      <c r="D26" s="41" t="n">
        <v>0</v>
      </c>
      <c r="E26" s="41" t="n">
        <v>0</v>
      </c>
      <c r="F26" s="41" t="n">
        <v>0</v>
      </c>
      <c r="G26" s="41" t="n">
        <v>0</v>
      </c>
      <c r="H26" s="41" t="n">
        <v>1</v>
      </c>
      <c r="I26" s="41" t="n">
        <v>1</v>
      </c>
      <c r="J26" s="41" t="n">
        <v>1</v>
      </c>
      <c r="K26" s="41" t="n">
        <v>1</v>
      </c>
      <c r="L26" s="41" t="n">
        <v>1</v>
      </c>
      <c r="M26" s="41" t="n">
        <v>1</v>
      </c>
      <c r="N26" s="41" t="n">
        <v>1</v>
      </c>
      <c r="O26" s="41" t="n">
        <v>1</v>
      </c>
      <c r="P26" s="41" t="n">
        <v>1</v>
      </c>
      <c r="Q26" s="41" t="n">
        <v>1</v>
      </c>
      <c r="R26" s="41" t="n">
        <v>1</v>
      </c>
      <c r="S26" s="41" t="n">
        <v>1</v>
      </c>
      <c r="T26" s="41" t="n">
        <v>1</v>
      </c>
      <c r="U26" s="41" t="n">
        <v>1</v>
      </c>
      <c r="V26" s="41" t="n">
        <v>1</v>
      </c>
      <c r="W26" s="41" t="n">
        <v>1</v>
      </c>
      <c r="X26" s="41" t="n">
        <v>1</v>
      </c>
      <c r="Y26" s="41" t="n">
        <v>1</v>
      </c>
      <c r="Z26" s="41" t="n">
        <v>1</v>
      </c>
      <c r="AA26" s="41" t="n">
        <v>1</v>
      </c>
      <c r="AB26" s="41" t="n">
        <v>1</v>
      </c>
      <c r="AC26" s="41" t="n">
        <v>1</v>
      </c>
      <c r="AD26" s="41" t="n">
        <v>1</v>
      </c>
      <c r="AE26" s="41" t="n">
        <v>1</v>
      </c>
      <c r="AF26" s="41" t="n">
        <v>1</v>
      </c>
      <c r="AG26" s="41" t="n">
        <v>1</v>
      </c>
      <c r="AH26" s="41" t="n">
        <v>1</v>
      </c>
      <c r="AI26" s="41" t="n">
        <v>1</v>
      </c>
      <c r="AJ26" s="41" t="n">
        <v>1</v>
      </c>
      <c r="AK26" s="41" t="n">
        <v>1</v>
      </c>
    </row>
    <row r="27" customFormat="false" ht="15" hidden="false" customHeight="true" outlineLevel="0" collapsed="false">
      <c r="A27" s="14" t="s">
        <v>319</v>
      </c>
      <c r="B27" s="43" t="n">
        <f aca="false">(B21+B22)*$B$3+B23*$B$2+B24*$B$6+B25*$B$4+B26*$B$5</f>
        <v>82000</v>
      </c>
      <c r="C27" s="43" t="n">
        <f aca="false">(C21+C22)*$B$3+C23*$B$2+C24*$B$6+C25*$B$4+C26*$B$5</f>
        <v>108000</v>
      </c>
      <c r="D27" s="43" t="n">
        <f aca="false">(D21+D22)*$B$3+D23*$B$2+D24*$B$6+D25*$B$4+D26*$B$5</f>
        <v>108000</v>
      </c>
      <c r="E27" s="43" t="n">
        <f aca="false">(E21+E22)*$B$3+E23*$B$2+E24*$B$6+E25*$B$4+E26*$B$5</f>
        <v>124000</v>
      </c>
      <c r="F27" s="43" t="n">
        <f aca="false">(F21+F22)*$B$3+F23*$B$2+F24*$B$6+F25*$B$4+F26*$B$5</f>
        <v>124000</v>
      </c>
      <c r="G27" s="43" t="n">
        <f aca="false">(G21+G22)*$B$3+G23*$B$2+G24*$B$6+G25*$B$4+G26*$B$5</f>
        <v>124000</v>
      </c>
      <c r="H27" s="43" t="n">
        <f aca="false">(H21+H22)*$B$3+H23*$B$2+H24*$B$6+H25*$B$4+H26*$B$5</f>
        <v>133000</v>
      </c>
      <c r="I27" s="43" t="n">
        <f aca="false">(I21+I22)*$B$3+I23*$B$2+I24*$B$6+I25*$B$4+I26*$B$5</f>
        <v>133000</v>
      </c>
      <c r="J27" s="43" t="n">
        <f aca="false">(J21+J22)*$B$3+J23*$B$2+J24*$B$6+J25*$B$4+J26*$B$5</f>
        <v>165000</v>
      </c>
      <c r="K27" s="43" t="n">
        <f aca="false">(K21+K22)*$B$3+K23*$B$2+K24*$B$6+K25*$B$4+K26*$B$5</f>
        <v>165000</v>
      </c>
      <c r="L27" s="43" t="n">
        <f aca="false">(L21+L22)*$B$3+L23*$B$2+L24*$B$6+L25*$B$4+L26*$B$5</f>
        <v>165000</v>
      </c>
      <c r="M27" s="43" t="n">
        <f aca="false">(M21+M22)*$B$3+M23*$B$2+M24*$B$6+M25*$B$4+M26*$B$5</f>
        <v>175000</v>
      </c>
      <c r="N27" s="43" t="n">
        <f aca="false">(N21+N22)*$B$3+N23*$B$2+N24*$B$6+N25*$B$4+N26*$B$5</f>
        <v>216000</v>
      </c>
      <c r="O27" s="43" t="n">
        <f aca="false">(O21+O22)*$B$3+O23*$B$2+O24*$B$6+O25*$B$4+O26*$B$5</f>
        <v>232000</v>
      </c>
      <c r="P27" s="43" t="n">
        <f aca="false">(P21+P22)*$B$3+P23*$B$2+P24*$B$6+P25*$B$4+P26*$B$5</f>
        <v>232000</v>
      </c>
      <c r="Q27" s="43" t="n">
        <f aca="false">(Q21+Q22)*$B$3+Q23*$B$2+Q24*$B$6+Q25*$B$4+Q26*$B$5</f>
        <v>232000</v>
      </c>
      <c r="R27" s="43" t="n">
        <f aca="false">(R21+R22)*$B$3+R23*$B$2+R24*$B$6+R25*$B$4+R26*$B$5</f>
        <v>258000</v>
      </c>
      <c r="S27" s="43" t="n">
        <f aca="false">(S21+S22)*$B$3+S23*$B$2+S24*$B$6+S25*$B$4+S26*$B$5</f>
        <v>258000</v>
      </c>
      <c r="T27" s="43" t="n">
        <f aca="false">(T21+T22)*$B$3+T23*$B$2+T24*$B$6+T25*$B$4+T26*$B$5</f>
        <v>290000</v>
      </c>
      <c r="U27" s="43" t="n">
        <f aca="false">(U21+U22)*$B$3+U23*$B$2+U24*$B$6+U25*$B$4+U26*$B$5</f>
        <v>290000</v>
      </c>
      <c r="V27" s="43" t="n">
        <f aca="false">(V21+V22)*$B$3+V23*$B$2+V24*$B$6+V25*$B$4+V26*$B$5</f>
        <v>300000</v>
      </c>
      <c r="W27" s="43" t="n">
        <f aca="false">(W21+W22)*$B$3+W23*$B$2+W24*$B$6+W25*$B$4+W26*$B$5</f>
        <v>316000</v>
      </c>
      <c r="X27" s="43" t="n">
        <f aca="false">(X21+X22)*$B$3+X23*$B$2+X24*$B$6+X25*$B$4+X26*$B$5</f>
        <v>316000</v>
      </c>
      <c r="Y27" s="43" t="n">
        <f aca="false">(Y21+Y22)*$B$3+Y23*$B$2+Y24*$B$6+Y25*$B$4+Y26*$B$5</f>
        <v>348000</v>
      </c>
      <c r="Z27" s="43" t="n">
        <f aca="false">(Z21+Z22)*$B$3+Z23*$B$2+Z24*$B$6+Z25*$B$4+Z26*$B$5</f>
        <v>383000</v>
      </c>
      <c r="AA27" s="43" t="n">
        <f aca="false">(AA21+AA22)*$B$3+AA23*$B$2+AA24*$B$6+AA25*$B$4+AA26*$B$5</f>
        <v>399000</v>
      </c>
      <c r="AB27" s="43" t="n">
        <f aca="false">(AB21+AB22)*$B$3+AB23*$B$2+AB24*$B$6+AB25*$B$4+AB26*$B$5</f>
        <v>399000</v>
      </c>
      <c r="AC27" s="43" t="n">
        <f aca="false">(AC21+AC22)*$B$3+AC23*$B$2+AC24*$B$6+AC25*$B$4+AC26*$B$5</f>
        <v>425000</v>
      </c>
      <c r="AD27" s="43" t="n">
        <f aca="false">(AD21+AD22)*$B$3+AD23*$B$2+AD24*$B$6+AD25*$B$4+AD26*$B$5</f>
        <v>441000</v>
      </c>
      <c r="AE27" s="43" t="n">
        <f aca="false">(AE21+AE22)*$B$3+AE23*$B$2+AE24*$B$6+AE25*$B$4+AE26*$B$5</f>
        <v>457000</v>
      </c>
      <c r="AF27" s="43" t="n">
        <f aca="false">(AF21+AF22)*$B$3+AF23*$B$2+AF24*$B$6+AF25*$B$4+AF26*$B$5</f>
        <v>483000</v>
      </c>
      <c r="AG27" s="43" t="n">
        <f aca="false">(AG21+AG22)*$B$3+AG23*$B$2+AG24*$B$6+AG25*$B$4+AG26*$B$5</f>
        <v>483000</v>
      </c>
      <c r="AH27" s="43" t="n">
        <f aca="false">(AH21+AH22)*$B$3+AH23*$B$2+AH24*$B$6+AH25*$B$4+AH26*$B$5</f>
        <v>509000</v>
      </c>
      <c r="AI27" s="43" t="n">
        <f aca="false">(AI21+AI22)*$B$3+AI23*$B$2+AI24*$B$6+AI25*$B$4+AI26*$B$5</f>
        <v>525000</v>
      </c>
      <c r="AJ27" s="43" t="n">
        <f aca="false">(AJ21+AJ22)*$B$3+AJ23*$B$2+AJ24*$B$6+AJ25*$B$4+AJ26*$B$5</f>
        <v>541000</v>
      </c>
      <c r="AK27" s="43" t="n">
        <f aca="false">(AK21+AK22)*$B$3+AK23*$B$2+AK24*$B$6+AK25*$B$4+AK26*$B$5</f>
        <v>567000</v>
      </c>
    </row>
    <row r="28" customFormat="false" ht="15" hidden="false" customHeight="true" outlineLevel="0" collapsed="false">
      <c r="A28" s="14" t="s">
        <v>320</v>
      </c>
      <c r="B28" s="43" t="n">
        <f aca="false">B27/$B$7</f>
        <v>117142.857142857</v>
      </c>
      <c r="C28" s="43" t="n">
        <f aca="false">C27/$B$7</f>
        <v>154285.714285714</v>
      </c>
      <c r="D28" s="43" t="n">
        <f aca="false">D27/$B$7</f>
        <v>154285.714285714</v>
      </c>
      <c r="E28" s="43" t="n">
        <f aca="false">E27/$B$7</f>
        <v>177142.857142857</v>
      </c>
      <c r="F28" s="43" t="n">
        <f aca="false">F27/$B$7</f>
        <v>177142.857142857</v>
      </c>
      <c r="G28" s="43" t="n">
        <f aca="false">G27/$B$7</f>
        <v>177142.857142857</v>
      </c>
      <c r="H28" s="43" t="n">
        <f aca="false">H27/$B$7</f>
        <v>190000</v>
      </c>
      <c r="I28" s="43" t="n">
        <f aca="false">I27/$B$7</f>
        <v>190000</v>
      </c>
      <c r="J28" s="43" t="n">
        <f aca="false">J27/$B$7</f>
        <v>235714.285714286</v>
      </c>
      <c r="K28" s="43" t="n">
        <f aca="false">K27/$B$7</f>
        <v>235714.285714286</v>
      </c>
      <c r="L28" s="43" t="n">
        <f aca="false">L27/$B$7</f>
        <v>235714.285714286</v>
      </c>
      <c r="M28" s="43" t="n">
        <f aca="false">M27/$B$7</f>
        <v>250000</v>
      </c>
      <c r="N28" s="43" t="n">
        <f aca="false">N27/$B$7</f>
        <v>308571.428571429</v>
      </c>
      <c r="O28" s="43" t="n">
        <f aca="false">O27/$B$7</f>
        <v>331428.571428572</v>
      </c>
      <c r="P28" s="43" t="n">
        <f aca="false">P27/$B$7</f>
        <v>331428.571428572</v>
      </c>
      <c r="Q28" s="43" t="n">
        <f aca="false">Q27/$B$7</f>
        <v>331428.571428572</v>
      </c>
      <c r="R28" s="43" t="n">
        <f aca="false">R27/$B$7</f>
        <v>368571.428571429</v>
      </c>
      <c r="S28" s="43" t="n">
        <f aca="false">S27/$B$7</f>
        <v>368571.428571429</v>
      </c>
      <c r="T28" s="43" t="n">
        <f aca="false">T27/$B$7</f>
        <v>414285.714285714</v>
      </c>
      <c r="U28" s="43" t="n">
        <f aca="false">U27/$B$7</f>
        <v>414285.714285714</v>
      </c>
      <c r="V28" s="43" t="n">
        <f aca="false">V27/$B$7</f>
        <v>428571.428571429</v>
      </c>
      <c r="W28" s="43" t="n">
        <f aca="false">W27/$B$7</f>
        <v>451428.571428572</v>
      </c>
      <c r="X28" s="43" t="n">
        <f aca="false">X27/$B$7</f>
        <v>451428.571428572</v>
      </c>
      <c r="Y28" s="43" t="n">
        <f aca="false">Y27/$B$7</f>
        <v>497142.857142857</v>
      </c>
      <c r="Z28" s="43" t="n">
        <f aca="false">Z27/$B$7</f>
        <v>547142.857142857</v>
      </c>
      <c r="AA28" s="43" t="n">
        <f aca="false">AA27/$B$7</f>
        <v>570000</v>
      </c>
      <c r="AB28" s="43" t="n">
        <f aca="false">AB27/$B$7</f>
        <v>570000</v>
      </c>
      <c r="AC28" s="43" t="n">
        <f aca="false">AC27/$B$7</f>
        <v>607142.857142857</v>
      </c>
      <c r="AD28" s="43" t="n">
        <f aca="false">AD27/$B$7</f>
        <v>630000</v>
      </c>
      <c r="AE28" s="43" t="n">
        <f aca="false">AE27/$B$7</f>
        <v>652857.142857143</v>
      </c>
      <c r="AF28" s="43" t="n">
        <f aca="false">AF27/$B$7</f>
        <v>690000</v>
      </c>
      <c r="AG28" s="43" t="n">
        <f aca="false">AG27/$B$7</f>
        <v>690000</v>
      </c>
      <c r="AH28" s="43" t="n">
        <f aca="false">AH27/$B$7</f>
        <v>727142.857142857</v>
      </c>
      <c r="AI28" s="43" t="n">
        <f aca="false">AI27/$B$7</f>
        <v>750000</v>
      </c>
      <c r="AJ28" s="43" t="n">
        <f aca="false">AJ27/$B$7</f>
        <v>772857.142857143</v>
      </c>
      <c r="AK28" s="43" t="n">
        <f aca="false">AK27/$B$7</f>
        <v>810000</v>
      </c>
    </row>
    <row r="29" customFormat="false" ht="15" hidden="false" customHeight="true" outlineLevel="0" collapsed="false">
      <c r="A29" s="14" t="s">
        <v>321</v>
      </c>
      <c r="B29" s="44" t="n">
        <f aca="false">B20-B28</f>
        <v>-114142.857142857</v>
      </c>
      <c r="C29" s="44" t="n">
        <f aca="false">C20-C28</f>
        <v>-147285.714285714</v>
      </c>
      <c r="D29" s="44" t="n">
        <f aca="false">D20-D28</f>
        <v>-142285.714285714</v>
      </c>
      <c r="E29" s="44" t="n">
        <f aca="false">E20-E28</f>
        <v>-159142.857142857</v>
      </c>
      <c r="F29" s="44" t="n">
        <f aca="false">F20-F28</f>
        <v>-152142.857142857</v>
      </c>
      <c r="G29" s="44" t="n">
        <f aca="false">G20-G28</f>
        <v>-144142.857142857</v>
      </c>
      <c r="H29" s="44" t="n">
        <f aca="false">H20-H28</f>
        <v>-148000</v>
      </c>
      <c r="I29" s="44" t="n">
        <f aca="false">I20-I28</f>
        <v>-138000</v>
      </c>
      <c r="J29" s="44" t="n">
        <f aca="false">J20-J28</f>
        <v>-172714.285714286</v>
      </c>
      <c r="K29" s="44" t="n">
        <f aca="false">K20-K28</f>
        <v>-160714.285714286</v>
      </c>
      <c r="L29" s="44" t="n">
        <f aca="false">L20-L28</f>
        <v>-147714.285714286</v>
      </c>
      <c r="M29" s="44" t="n">
        <f aca="false">M20-M28</f>
        <v>-148000</v>
      </c>
      <c r="N29" s="44" t="n">
        <f aca="false">N20-N28</f>
        <v>-191871.428571429</v>
      </c>
      <c r="O29" s="44" t="n">
        <f aca="false">O20-O28</f>
        <v>-199128.571428572</v>
      </c>
      <c r="P29" s="44" t="n">
        <f aca="false">P20-P28</f>
        <v>-182628.571428572</v>
      </c>
      <c r="Q29" s="44" t="n">
        <f aca="false">Q20-Q28</f>
        <v>-165228.571428572</v>
      </c>
      <c r="R29" s="44" t="n">
        <f aca="false">R20-R28</f>
        <v>-184071.428571429</v>
      </c>
      <c r="S29" s="44" t="n">
        <f aca="false">S20-S28</f>
        <v>-164871.428571429</v>
      </c>
      <c r="T29" s="44" t="n">
        <f aca="false">T20-T28</f>
        <v>-190485.714285714</v>
      </c>
      <c r="U29" s="44" t="n">
        <f aca="false">U20-U28</f>
        <v>-169485.714285714</v>
      </c>
      <c r="V29" s="44" t="n">
        <f aca="false">V20-V28</f>
        <v>-161871.428571429</v>
      </c>
      <c r="W29" s="44" t="n">
        <f aca="false">W20-W28</f>
        <v>-161928.571428572</v>
      </c>
      <c r="X29" s="44" t="n">
        <f aca="false">X20-X28</f>
        <v>-138228.571428572</v>
      </c>
      <c r="Y29" s="44" t="n">
        <f aca="false">Y20-Y28</f>
        <v>-159342.857142857</v>
      </c>
      <c r="Z29" s="44" t="n">
        <f aca="false">Z20-Z28</f>
        <v>-184112.857142857</v>
      </c>
      <c r="AA29" s="44" t="n">
        <f aca="false">AA20-AA28</f>
        <v>-180930</v>
      </c>
      <c r="AB29" s="44" t="n">
        <f aca="false">AB20-AB28</f>
        <v>-154080</v>
      </c>
      <c r="AC29" s="44" t="n">
        <f aca="false">AC20-AC28</f>
        <v>-163562.857142857</v>
      </c>
      <c r="AD29" s="44" t="n">
        <f aca="false">AD20-AD28</f>
        <v>-157950</v>
      </c>
      <c r="AE29" s="44" t="n">
        <f aca="false">AE20-AE28</f>
        <v>-151527.142857143</v>
      </c>
      <c r="AF29" s="44" t="n">
        <f aca="false">AF20-AF28</f>
        <v>-158580</v>
      </c>
      <c r="AG29" s="44" t="n">
        <f aca="false">AG20-AG28</f>
        <v>-127680</v>
      </c>
      <c r="AH29" s="44" t="n">
        <f aca="false">AH20-AH28</f>
        <v>-133112.857142857</v>
      </c>
      <c r="AI29" s="44" t="n">
        <f aca="false">AI20-AI28</f>
        <v>-123450</v>
      </c>
      <c r="AJ29" s="44" t="n">
        <f aca="false">AJ20-AJ28</f>
        <v>-112977.142857143</v>
      </c>
      <c r="AK29" s="44" t="n">
        <f aca="false">AK20-AK28</f>
        <v>-115980</v>
      </c>
    </row>
    <row r="30" customFormat="false" ht="15" hidden="false" customHeight="true" outlineLevel="0" collapsed="false">
      <c r="A30" s="14" t="s">
        <v>322</v>
      </c>
      <c r="B30" s="44" t="n">
        <f aca="false">B29-$B$13</f>
        <v>-1614142.85714286</v>
      </c>
      <c r="C30" s="44" t="n">
        <f aca="false">B30+C29</f>
        <v>-1761428.57142857</v>
      </c>
      <c r="D30" s="44" t="n">
        <f aca="false">C30+D29</f>
        <v>-1903714.28571429</v>
      </c>
      <c r="E30" s="44" t="n">
        <f aca="false">D30+E29</f>
        <v>-2062857.14285714</v>
      </c>
      <c r="F30" s="44" t="n">
        <f aca="false">E30+F29</f>
        <v>-2215000</v>
      </c>
      <c r="G30" s="44" t="n">
        <f aca="false">F30+G29</f>
        <v>-2359142.85714286</v>
      </c>
      <c r="H30" s="44" t="n">
        <f aca="false">G30+H29</f>
        <v>-2507142.85714286</v>
      </c>
      <c r="I30" s="44" t="n">
        <f aca="false">H30+I29</f>
        <v>-2645142.85714286</v>
      </c>
      <c r="J30" s="44" t="n">
        <f aca="false">I30+J29</f>
        <v>-2817857.14285714</v>
      </c>
      <c r="K30" s="44" t="n">
        <f aca="false">J30+K29</f>
        <v>-2978571.42857143</v>
      </c>
      <c r="L30" s="44" t="n">
        <f aca="false">K30+L29</f>
        <v>-3126285.71428572</v>
      </c>
      <c r="M30" s="44" t="n">
        <f aca="false">L30+M29</f>
        <v>-3274285.71428572</v>
      </c>
      <c r="N30" s="44" t="n">
        <f aca="false">M30+N29</f>
        <v>-3466157.14285714</v>
      </c>
      <c r="O30" s="44" t="n">
        <f aca="false">N30+O29</f>
        <v>-3665285.71428572</v>
      </c>
      <c r="P30" s="44" t="n">
        <f aca="false">O30+P29</f>
        <v>-3847914.28571429</v>
      </c>
      <c r="Q30" s="44" t="n">
        <f aca="false">P30+Q29</f>
        <v>-4013142.85714286</v>
      </c>
      <c r="R30" s="44" t="n">
        <f aca="false">Q30+R29</f>
        <v>-4197214.28571429</v>
      </c>
      <c r="S30" s="44" t="n">
        <f aca="false">R30+S29</f>
        <v>-4362085.71428572</v>
      </c>
      <c r="T30" s="44" t="n">
        <f aca="false">S30+T29</f>
        <v>-4552571.42857143</v>
      </c>
      <c r="U30" s="44" t="n">
        <f aca="false">T30+U29</f>
        <v>-4722057.14285714</v>
      </c>
      <c r="V30" s="44" t="n">
        <f aca="false">U30+V29</f>
        <v>-4883928.57142857</v>
      </c>
      <c r="W30" s="44" t="n">
        <f aca="false">V30+W29</f>
        <v>-5045857.14285715</v>
      </c>
      <c r="X30" s="44" t="n">
        <f aca="false">W30+X29</f>
        <v>-5184085.71428572</v>
      </c>
      <c r="Y30" s="44" t="n">
        <f aca="false">X30+Y29</f>
        <v>-5343428.57142857</v>
      </c>
      <c r="Z30" s="44" t="n">
        <f aca="false">Y30+Z29</f>
        <v>-5527541.42857143</v>
      </c>
      <c r="AA30" s="44" t="n">
        <f aca="false">Z30+AA29</f>
        <v>-5708471.42857143</v>
      </c>
      <c r="AB30" s="44" t="n">
        <f aca="false">AA30+AB29</f>
        <v>-5862551.42857143</v>
      </c>
      <c r="AC30" s="44" t="n">
        <f aca="false">AB30+AC29</f>
        <v>-6026114.28571429</v>
      </c>
      <c r="AD30" s="44" t="n">
        <f aca="false">AC30+AD29</f>
        <v>-6184064.28571429</v>
      </c>
      <c r="AE30" s="44" t="n">
        <f aca="false">AD30+AE29</f>
        <v>-6335591.42857143</v>
      </c>
      <c r="AF30" s="44" t="n">
        <f aca="false">AE30+AF29</f>
        <v>-6494171.42857143</v>
      </c>
      <c r="AG30" s="44" t="n">
        <f aca="false">AF30+AG29</f>
        <v>-6621851.42857143</v>
      </c>
      <c r="AH30" s="44" t="n">
        <f aca="false">AG30+AH29</f>
        <v>-6754964.28571429</v>
      </c>
      <c r="AI30" s="44" t="n">
        <f aca="false">AH30+AI29</f>
        <v>-6878414.28571429</v>
      </c>
      <c r="AJ30" s="44" t="n">
        <f aca="false">AI30+AJ29</f>
        <v>-6991391.42857143</v>
      </c>
      <c r="AK30" s="44" t="n">
        <f aca="false">AJ30+AK29</f>
        <v>-7107371.42857143</v>
      </c>
    </row>
    <row r="32" customFormat="false" ht="15" hidden="false" customHeight="true" outlineLevel="0" collapsed="false">
      <c r="A32" s="37" t="s">
        <v>323</v>
      </c>
    </row>
  </sheetData>
  <mergeCells count="3">
    <mergeCell ref="B15:M15"/>
    <mergeCell ref="N15:Y15"/>
    <mergeCell ref="Z15:AK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729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2026-04-27T13:43:55Z</dcterms:created>
  <dc:creator>openpyxl</dc:creator>
  <dc:description/>
  <dc:language>he-IL</dc:language>
  <cp:lastModifiedBy/>
  <dcterms:modified xsi:type="dcterms:W3CDTF">2026-05-01T08:35:51Z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