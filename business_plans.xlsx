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mi — Projection" sheetId="1" state="visible" r:id="rId1"/>
    <sheet xmlns:r="http://schemas.openxmlformats.org/officeDocument/2006/relationships" name="Ami — Book Summary" sheetId="2" state="visible" r:id="rId2"/>
    <sheet xmlns:r="http://schemas.openxmlformats.org/officeDocument/2006/relationships" name="Ami — SaaS Market" sheetId="3" state="visible" r:id="rId3"/>
    <sheet xmlns:r="http://schemas.openxmlformats.org/officeDocument/2006/relationships" name="Ecommerce homework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-#,##0"/>
    <numFmt numFmtId="165" formatCode="\$#,##0;[RED]&quot;($&quot;#,##0\)"/>
    <numFmt numFmtId="166" formatCode="#,##0;[Red]-#,##0"/>
  </numFmts>
  <fonts count="13">
    <font>
      <name val="Arial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  <font>
      <name val="Arial"/>
      <charset val="1"/>
      <family val="2"/>
      <b val="1"/>
      <color theme="1"/>
      <sz val="11"/>
    </font>
    <font>
      <name val="Cambria"/>
      <charset val="1"/>
      <family val="0"/>
      <b val="1"/>
      <sz val="16"/>
    </font>
    <font>
      <name val="Cambria"/>
      <charset val="1"/>
      <family val="0"/>
      <b val="1"/>
      <sz val="13"/>
    </font>
    <font>
      <name val="Calibri"/>
      <charset val="1"/>
      <family val="2"/>
      <color theme="1"/>
      <sz val="11"/>
    </font>
    <font>
      <name val="Cambria"/>
      <charset val="1"/>
      <family val="0"/>
      <i val="1"/>
      <color rgb="FF666666"/>
      <sz val="11"/>
    </font>
    <font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B4C7E7"/>
        <bgColor rgb="FFCCCC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/>
    </xf>
    <xf numFmtId="10" fontId="0" fillId="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3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general" vertical="center"/>
    </xf>
    <xf numFmtId="164" fontId="0" fillId="3" borderId="0" applyAlignment="1" pivotButton="0" quotePrefix="0" xfId="0">
      <alignment horizontal="general" vertical="center"/>
    </xf>
    <xf numFmtId="164" fontId="6" fillId="3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readingOrder="1"/>
    </xf>
    <xf numFmtId="0" fontId="8" fillId="4" borderId="0" applyAlignment="1" pivotButton="0" quotePrefix="0" xfId="0">
      <alignment horizontal="left" vertical="center" readingOrder="1"/>
    </xf>
    <xf numFmtId="0" fontId="5" fillId="0" borderId="0" applyAlignment="1" pivotButton="0" quotePrefix="0" xfId="0">
      <alignment horizontal="left" vertical="top" wrapText="1" readingOrder="1"/>
    </xf>
    <xf numFmtId="0" fontId="9" fillId="0" borderId="0" applyAlignment="1" pivotButton="0" quotePrefix="0" xfId="0">
      <alignment horizontal="left" vertical="top" wrapText="1" readingOrder="1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readingOrder="1"/>
    </xf>
    <xf numFmtId="0" fontId="0" fillId="0" borderId="0" applyAlignment="1" pivotButton="0" quotePrefix="0" xfId="0">
      <alignment horizontal="general" vertical="bottom" readingOrder="1"/>
    </xf>
    <xf numFmtId="0" fontId="8" fillId="0" borderId="0" applyAlignment="1" pivotButton="0" quotePrefix="0" xfId="0">
      <alignment horizontal="general" vertical="top" wrapText="1" readingOrder="1"/>
    </xf>
    <xf numFmtId="0" fontId="5" fillId="0" borderId="0" applyAlignment="1" pivotButton="0" quotePrefix="0" xfId="0">
      <alignment horizontal="general" vertical="top" wrapText="1" readingOrder="1"/>
    </xf>
    <xf numFmtId="0" fontId="5" fillId="5" borderId="0" applyAlignment="1" pivotButton="0" quotePrefix="0" xfId="0">
      <alignment horizontal="left" vertical="top" wrapText="1" readingOrder="1"/>
    </xf>
    <xf numFmtId="3" fontId="9" fillId="0" borderId="0" applyAlignment="1" pivotButton="0" quotePrefix="0" xfId="0">
      <alignment horizontal="right" vertical="top" readingOrder="1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right" vertical="top" readingOrder="1"/>
    </xf>
    <xf numFmtId="0" fontId="8" fillId="4" borderId="0" applyAlignment="1" pivotButton="0" quotePrefix="0" xfId="0">
      <alignment horizontal="left" vertical="top" wrapText="1" readingOrder="1"/>
    </xf>
    <xf numFmtId="1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left" vertical="top" wrapText="1" readingOrder="1"/>
    </xf>
    <xf numFmtId="0" fontId="5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5" fillId="5" borderId="0" applyAlignment="1" pivotButton="0" quotePrefix="0" xfId="0">
      <alignment horizontal="center" vertical="bottom"/>
    </xf>
    <xf numFmtId="164" fontId="9" fillId="2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5" fontId="5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left" vertical="top"/>
    </xf>
    <xf numFmtId="10" fontId="0" fillId="2" borderId="0" applyAlignment="1" pivotButton="0" quotePrefix="0" xfId="0">
      <alignment horizontal="general" vertical="top"/>
    </xf>
    <xf numFmtId="3" fontId="0" fillId="2" borderId="0" applyAlignment="1" pivotButton="0" quotePrefix="0" xfId="0">
      <alignment horizontal="general" vertical="top"/>
    </xf>
    <xf numFmtId="0" fontId="0" fillId="2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center" vertical="top"/>
    </xf>
    <xf numFmtId="3" fontId="0" fillId="3" borderId="0" applyAlignment="1" pivotButton="0" quotePrefix="0" xfId="0">
      <alignment horizontal="general" vertical="top"/>
    </xf>
    <xf numFmtId="164" fontId="0" fillId="3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left" vertical="center" readingOrder="1"/>
    </xf>
    <xf numFmtId="0" fontId="8" fillId="4" borderId="0" applyAlignment="1" pivotButton="0" quotePrefix="0" xfId="0">
      <alignment horizontal="left" vertical="center" readingOrder="1"/>
    </xf>
    <xf numFmtId="0" fontId="5" fillId="0" borderId="0" applyAlignment="1" pivotButton="0" quotePrefix="0" xfId="0">
      <alignment horizontal="left" vertical="top" wrapText="1" readingOrder="1"/>
    </xf>
    <xf numFmtId="0" fontId="9" fillId="0" borderId="0" applyAlignment="1" pivotButton="0" quotePrefix="0" xfId="0">
      <alignment horizontal="left" vertical="top" wrapText="1" readingOrder="1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readingOrder="1"/>
    </xf>
    <xf numFmtId="0" fontId="0" fillId="0" borderId="0" applyAlignment="1" pivotButton="0" quotePrefix="0" xfId="0">
      <alignment horizontal="general" vertical="bottom" readingOrder="1"/>
    </xf>
    <xf numFmtId="0" fontId="8" fillId="0" borderId="0" applyAlignment="1" pivotButton="0" quotePrefix="0" xfId="0">
      <alignment horizontal="general" vertical="top" wrapText="1" readingOrder="1"/>
    </xf>
    <xf numFmtId="0" fontId="5" fillId="0" borderId="0" applyAlignment="1" pivotButton="0" quotePrefix="0" xfId="0">
      <alignment horizontal="general" vertical="top" wrapText="1" readingOrder="1"/>
    </xf>
    <xf numFmtId="0" fontId="5" fillId="5" borderId="0" applyAlignment="1" pivotButton="0" quotePrefix="0" xfId="0">
      <alignment horizontal="left" vertical="top" wrapText="1" readingOrder="1"/>
    </xf>
    <xf numFmtId="3" fontId="9" fillId="0" borderId="0" applyAlignment="1" pivotButton="0" quotePrefix="0" xfId="0">
      <alignment horizontal="right" vertical="top" readingOrder="1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right" vertical="top" readingOrder="1"/>
    </xf>
    <xf numFmtId="0" fontId="8" fillId="4" borderId="0" applyAlignment="1" pivotButton="0" quotePrefix="0" xfId="0">
      <alignment horizontal="left" vertical="top" wrapText="1" readingOrder="1"/>
    </xf>
    <xf numFmtId="10" fontId="9" fillId="0" borderId="0" applyAlignment="1" pivotButton="0" quotePrefix="0" xfId="0">
      <alignment horizontal="right" vertical="top" readingOrder="1"/>
    </xf>
    <xf numFmtId="0" fontId="9" fillId="0" borderId="0" applyAlignment="1" pivotButton="0" quotePrefix="0" xfId="0">
      <alignment horizontal="right" vertical="top" readingOrder="1"/>
    </xf>
    <xf numFmtId="0" fontId="5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0" fontId="5" fillId="6" borderId="1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0" fontId="5" fillId="5" borderId="0" applyAlignment="1" pivotButton="0" quotePrefix="0" xfId="0">
      <alignment horizontal="center" vertical="bottom"/>
    </xf>
    <xf numFmtId="164" fontId="9" fillId="2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165" fontId="9" fillId="3" borderId="0" applyAlignment="1" pivotButton="0" quotePrefix="0" xfId="0">
      <alignment horizontal="general" vertical="bottom"/>
    </xf>
    <xf numFmtId="165" fontId="5" fillId="3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left" vertical="top"/>
    </xf>
    <xf numFmtId="10" fontId="0" fillId="7" borderId="0" applyAlignment="1" pivotButton="0" quotePrefix="0" xfId="0">
      <alignment horizontal="general" vertical="top"/>
    </xf>
    <xf numFmtId="3" fontId="0" fillId="7" borderId="0" applyAlignment="1" pivotButton="0" quotePrefix="0" xfId="0">
      <alignment horizontal="general" vertical="top"/>
    </xf>
    <xf numFmtId="0" fontId="0" fillId="7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center" vertical="top"/>
    </xf>
    <xf numFmtId="3" fontId="0" fillId="8" borderId="0" applyAlignment="1" pivotButton="0" quotePrefix="0" xfId="0">
      <alignment horizontal="general" vertical="top"/>
    </xf>
    <xf numFmtId="166" fontId="0" fillId="8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style="46" min="1" max="1"/>
    <col width="14" customWidth="1" style="46" min="2" max="2"/>
    <col width="14" customWidth="1" style="46" min="3" max="3"/>
    <col width="10" customWidth="1" style="46" min="4" max="4"/>
    <col width="10" customWidth="1" style="46" min="5" max="5"/>
    <col width="10" customWidth="1" style="46" min="6" max="6"/>
    <col width="10" customWidth="1" style="46" min="7" max="7"/>
    <col width="10" customWidth="1" style="46" min="8" max="8"/>
    <col width="10" customWidth="1" style="46" min="9" max="9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10" customWidth="1" style="46" min="17" max="17"/>
    <col width="10" customWidth="1" style="46" min="18" max="18"/>
    <col width="10" customWidth="1" style="46" min="19" max="19"/>
    <col width="10" customWidth="1" style="46" min="20" max="20"/>
    <col width="10" customWidth="1" style="46" min="21" max="21"/>
    <col width="10" customWidth="1" style="46" min="22" max="22"/>
    <col width="10" customWidth="1" style="46" min="23" max="23"/>
    <col width="10" customWidth="1" style="46" min="24" max="24"/>
    <col width="10" customWidth="1" style="46" min="25" max="25"/>
    <col width="10" customWidth="1" style="46" min="26" max="26"/>
    <col width="10" customWidth="1" style="46" min="27" max="27"/>
    <col width="10" customWidth="1" style="46" min="28" max="28"/>
    <col width="10" customWidth="1" style="46" min="29" max="29"/>
    <col width="10" customWidth="1" style="46" min="30" max="30"/>
    <col width="10" customWidth="1" style="46" min="31" max="31"/>
    <col width="10" customWidth="1" style="46" min="32" max="32"/>
    <col width="10" customWidth="1" style="46" min="33" max="33"/>
    <col width="10" customWidth="1" style="46" min="34" max="34"/>
    <col width="10" customWidth="1" style="46" min="35" max="35"/>
    <col width="10" customWidth="1" style="46" min="36" max="36"/>
    <col width="10" customWidth="1" style="46" min="37" max="37"/>
  </cols>
  <sheetData>
    <row r="1">
      <c r="A1" s="90" t="inlineStr">
        <is>
          <t>ASSUMPTIONS (edit yellow cells)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</row>
    <row r="2">
      <c r="A2" s="92" t="inlineStr">
        <is>
          <t>Email list monthly churn</t>
        </is>
      </c>
      <c r="B2" s="93" t="n">
        <v>0.01</v>
      </c>
      <c r="C2" s="91" t="inlineStr">
        <is>
          <t>unsubscribes / month</t>
        </is>
      </c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</row>
    <row r="3">
      <c r="A3" s="92" t="inlineStr">
        <is>
          <t>Cohort price / seat</t>
        </is>
      </c>
      <c r="B3" s="94" t="n">
        <v>5000</v>
      </c>
      <c r="C3" s="91" t="inlineStr">
        <is>
          <t>$ — flagship 6-week cohort</t>
        </is>
      </c>
      <c r="D3" s="91" t="n"/>
      <c r="E3" s="91" t="n"/>
      <c r="F3" s="91" t="n"/>
      <c r="G3" s="91" t="n"/>
      <c r="H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  <c r="AA3" s="91" t="n"/>
      <c r="AB3" s="91" t="n"/>
      <c r="AC3" s="91" t="n"/>
      <c r="AD3" s="91" t="n"/>
      <c r="AE3" s="91" t="n"/>
      <c r="AF3" s="91" t="n"/>
      <c r="AG3" s="91" t="n"/>
      <c r="AH3" s="91" t="n"/>
      <c r="AI3" s="91" t="n"/>
      <c r="AJ3" s="91" t="n"/>
      <c r="AK3" s="91" t="n"/>
    </row>
    <row r="4">
      <c r="A4" s="92" t="inlineStr">
        <is>
          <t>Cohort seats / run</t>
        </is>
      </c>
      <c r="B4" s="95" t="n">
        <v>8</v>
      </c>
      <c r="C4" s="91" t="inlineStr">
        <is>
          <t>mid of 5-10 target</t>
        </is>
      </c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  <c r="AA4" s="91" t="n"/>
      <c r="AB4" s="91" t="n"/>
      <c r="AC4" s="91" t="n"/>
      <c r="AD4" s="91" t="n"/>
      <c r="AE4" s="91" t="n"/>
      <c r="AF4" s="91" t="n"/>
      <c r="AG4" s="91" t="n"/>
      <c r="AH4" s="91" t="n"/>
      <c r="AI4" s="91" t="n"/>
      <c r="AJ4" s="91" t="n"/>
      <c r="AK4" s="91" t="n"/>
    </row>
    <row r="5">
      <c r="A5" s="92" t="inlineStr">
        <is>
          <t>Paid challenge — standard ticket</t>
        </is>
      </c>
      <c r="B5" s="95" t="n">
        <v>97</v>
      </c>
      <c r="C5" s="91" t="inlineStr">
        <is>
          <t>$ — 5-day pre-cohort challenge GA</t>
        </is>
      </c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  <c r="AA5" s="91" t="n"/>
      <c r="AB5" s="91" t="n"/>
      <c r="AC5" s="91" t="n"/>
      <c r="AD5" s="91" t="n"/>
      <c r="AE5" s="91" t="n"/>
      <c r="AF5" s="91" t="n"/>
      <c r="AG5" s="91" t="n"/>
      <c r="AH5" s="91" t="n"/>
      <c r="AI5" s="91" t="n"/>
      <c r="AJ5" s="91" t="n"/>
      <c r="AK5" s="91" t="n"/>
    </row>
    <row r="6">
      <c r="A6" s="92" t="inlineStr">
        <is>
          <t>Paid challenge — VIP ticket</t>
        </is>
      </c>
      <c r="B6" s="95" t="n">
        <v>297</v>
      </c>
      <c r="C6" s="91" t="inlineStr">
        <is>
          <t>$ — 5-day challenge VIP</t>
        </is>
      </c>
      <c r="D6" s="91" t="n"/>
      <c r="E6" s="91" t="n"/>
      <c r="F6" s="91" t="n"/>
      <c r="G6" s="91" t="n"/>
      <c r="H6" s="91" t="n"/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  <c r="AA6" s="91" t="n"/>
      <c r="AB6" s="91" t="n"/>
      <c r="AC6" s="91" t="n"/>
      <c r="AD6" s="91" t="n"/>
      <c r="AE6" s="91" t="n"/>
      <c r="AF6" s="91" t="n"/>
      <c r="AG6" s="91" t="n"/>
      <c r="AH6" s="91" t="n"/>
      <c r="AI6" s="91" t="n"/>
      <c r="AJ6" s="91" t="n"/>
      <c r="AK6" s="91" t="n"/>
    </row>
    <row r="7">
      <c r="A7" s="92" t="inlineStr">
        <is>
          <t>SaaS annual fee / customer</t>
        </is>
      </c>
      <c r="B7" s="94" t="n">
        <v>25000</v>
      </c>
      <c r="C7" s="91" t="inlineStr">
        <is>
          <t>$/yr — RE wire-fraud, Phase 2</t>
        </is>
      </c>
      <c r="D7" s="91" t="n"/>
      <c r="E7" s="91" t="n"/>
      <c r="F7" s="91" t="n"/>
      <c r="G7" s="91" t="n"/>
      <c r="H7" s="91" t="n"/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  <c r="AA7" s="91" t="n"/>
      <c r="AB7" s="91" t="n"/>
      <c r="AC7" s="91" t="n"/>
      <c r="AD7" s="91" t="n"/>
      <c r="AE7" s="91" t="n"/>
      <c r="AF7" s="91" t="n"/>
      <c r="AG7" s="91" t="n"/>
      <c r="AH7" s="91" t="n"/>
      <c r="AI7" s="91" t="n"/>
      <c r="AJ7" s="91" t="n"/>
      <c r="AK7" s="91" t="n"/>
    </row>
    <row r="8">
      <c r="A8" s="92" t="inlineStr">
        <is>
          <t>SaaS annual attrition</t>
        </is>
      </c>
      <c r="B8" s="93" t="n">
        <v>0.1</v>
      </c>
      <c r="C8" s="91" t="inlineStr">
        <is>
          <t>fraction not renewing</t>
        </is>
      </c>
      <c r="D8" s="91" t="n"/>
      <c r="E8" s="91" t="n"/>
      <c r="F8" s="91" t="n"/>
      <c r="G8" s="91" t="n"/>
      <c r="H8" s="91" t="n"/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  <c r="AA8" s="91" t="n"/>
      <c r="AB8" s="91" t="n"/>
      <c r="AC8" s="91" t="n"/>
      <c r="AD8" s="91" t="n"/>
      <c r="AE8" s="91" t="n"/>
      <c r="AF8" s="91" t="n"/>
      <c r="AG8" s="91" t="n"/>
      <c r="AH8" s="91" t="n"/>
      <c r="AI8" s="91" t="n"/>
      <c r="AJ8" s="91" t="n"/>
      <c r="AK8" s="91" t="n"/>
    </row>
    <row r="9">
      <c r="A9" s="92" t="inlineStr">
        <is>
          <t>Platform / tooling overhead / month</t>
        </is>
      </c>
      <c r="B9" s="95" t="n">
        <v>50</v>
      </c>
      <c r="C9" s="91" t="inlineStr">
        <is>
          <t>$/month — Listmonk VPS + tools</t>
        </is>
      </c>
      <c r="D9" s="91" t="n"/>
      <c r="E9" s="91" t="n"/>
      <c r="F9" s="91" t="n"/>
      <c r="G9" s="91" t="n"/>
      <c r="H9" s="91" t="n"/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  <c r="AA9" s="91" t="n"/>
      <c r="AB9" s="91" t="n"/>
      <c r="AC9" s="91" t="n"/>
      <c r="AD9" s="91" t="n"/>
      <c r="AE9" s="91" t="n"/>
      <c r="AF9" s="91" t="n"/>
      <c r="AG9" s="91" t="n"/>
      <c r="AH9" s="91" t="n"/>
      <c r="AI9" s="91" t="n"/>
      <c r="AJ9" s="91" t="n"/>
      <c r="AK9" s="91" t="n"/>
    </row>
    <row r="10">
      <c r="A10" s="92" t="inlineStr">
        <is>
          <t>Server unit cost / month</t>
        </is>
      </c>
      <c r="B10" s="95" t="n">
        <v>50</v>
      </c>
      <c r="C10" s="91" t="inlineStr">
        <is>
          <t>$/month per OVH unit (incl. backups)</t>
        </is>
      </c>
      <c r="D10" s="91" t="n"/>
      <c r="E10" s="91" t="n"/>
      <c r="F10" s="91" t="n"/>
      <c r="G10" s="91" t="n"/>
      <c r="H10" s="91" t="n"/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  <c r="AA10" s="91" t="n"/>
      <c r="AB10" s="91" t="n"/>
      <c r="AC10" s="91" t="n"/>
      <c r="AD10" s="91" t="n"/>
      <c r="AE10" s="91" t="n"/>
      <c r="AF10" s="91" t="n"/>
      <c r="AG10" s="91" t="n"/>
      <c r="AH10" s="91" t="n"/>
      <c r="AI10" s="91" t="n"/>
      <c r="AJ10" s="91" t="n"/>
      <c r="AK10" s="91" t="n"/>
    </row>
    <row r="11">
      <c r="A11" s="96" t="n"/>
      <c r="B11" s="91" t="n"/>
      <c r="C11" s="91" t="n"/>
      <c r="D11" s="91" t="n"/>
      <c r="E11" s="91" t="n"/>
      <c r="F11" s="91" t="n"/>
      <c r="G11" s="91" t="n"/>
      <c r="H11" s="91" t="n"/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  <c r="AA11" s="91" t="n"/>
      <c r="AB11" s="91" t="n"/>
      <c r="AC11" s="91" t="n"/>
      <c r="AD11" s="91" t="n"/>
      <c r="AE11" s="91" t="n"/>
      <c r="AF11" s="91" t="n"/>
      <c r="AG11" s="91" t="n"/>
      <c r="AH11" s="91" t="n"/>
      <c r="AI11" s="91" t="n"/>
      <c r="AJ11" s="91" t="n"/>
      <c r="AK11" s="91" t="n"/>
    </row>
    <row r="12">
      <c r="A12" s="92" t="inlineStr">
        <is>
          <t>Year</t>
        </is>
      </c>
      <c r="B12" s="98" t="inlineStr">
        <is>
          <t>Year 1 (May 2026 – Apr 2027)</t>
        </is>
      </c>
      <c r="N12" s="98" t="inlineStr">
        <is>
          <t>Year 2 (May 2027 – Apr 2028)</t>
        </is>
      </c>
      <c r="Z12" s="98" t="inlineStr">
        <is>
          <t>Year 3 (May 2028 – Apr 2029)</t>
        </is>
      </c>
    </row>
    <row r="13">
      <c r="A13" s="92" t="inlineStr">
        <is>
          <t>Month</t>
        </is>
      </c>
      <c r="B13" s="98" t="inlineStr">
        <is>
          <t>May</t>
        </is>
      </c>
      <c r="C13" s="98" t="inlineStr">
        <is>
          <t>Jun</t>
        </is>
      </c>
      <c r="D13" s="98" t="inlineStr">
        <is>
          <t>Jul</t>
        </is>
      </c>
      <c r="E13" s="98" t="inlineStr">
        <is>
          <t>Aug</t>
        </is>
      </c>
      <c r="F13" s="98" t="inlineStr">
        <is>
          <t>Sep</t>
        </is>
      </c>
      <c r="G13" s="98" t="inlineStr">
        <is>
          <t>Oct</t>
        </is>
      </c>
      <c r="H13" s="98" t="inlineStr">
        <is>
          <t>Nov</t>
        </is>
      </c>
      <c r="I13" s="98" t="inlineStr">
        <is>
          <t>Dec</t>
        </is>
      </c>
      <c r="J13" s="98" t="inlineStr">
        <is>
          <t>Jan</t>
        </is>
      </c>
      <c r="K13" s="98" t="inlineStr">
        <is>
          <t>Feb</t>
        </is>
      </c>
      <c r="L13" s="98" t="inlineStr">
        <is>
          <t>Mar</t>
        </is>
      </c>
      <c r="M13" s="98" t="inlineStr">
        <is>
          <t>Apr</t>
        </is>
      </c>
      <c r="N13" s="98" t="inlineStr">
        <is>
          <t>May</t>
        </is>
      </c>
      <c r="O13" s="98" t="inlineStr">
        <is>
          <t>Jun</t>
        </is>
      </c>
      <c r="P13" s="98" t="inlineStr">
        <is>
          <t>Jul</t>
        </is>
      </c>
      <c r="Q13" s="98" t="inlineStr">
        <is>
          <t>Aug</t>
        </is>
      </c>
      <c r="R13" s="98" t="inlineStr">
        <is>
          <t>Sep</t>
        </is>
      </c>
      <c r="S13" s="98" t="inlineStr">
        <is>
          <t>Oct</t>
        </is>
      </c>
      <c r="T13" s="98" t="inlineStr">
        <is>
          <t>Nov</t>
        </is>
      </c>
      <c r="U13" s="98" t="inlineStr">
        <is>
          <t>Dec</t>
        </is>
      </c>
      <c r="V13" s="98" t="inlineStr">
        <is>
          <t>Jan</t>
        </is>
      </c>
      <c r="W13" s="98" t="inlineStr">
        <is>
          <t>Feb</t>
        </is>
      </c>
      <c r="X13" s="98" t="inlineStr">
        <is>
          <t>Mar</t>
        </is>
      </c>
      <c r="Y13" s="98" t="inlineStr">
        <is>
          <t>Apr</t>
        </is>
      </c>
      <c r="Z13" s="98" t="inlineStr">
        <is>
          <t>May</t>
        </is>
      </c>
      <c r="AA13" s="98" t="inlineStr">
        <is>
          <t>Jun</t>
        </is>
      </c>
      <c r="AB13" s="98" t="inlineStr">
        <is>
          <t>Jul</t>
        </is>
      </c>
      <c r="AC13" s="98" t="inlineStr">
        <is>
          <t>Aug</t>
        </is>
      </c>
      <c r="AD13" s="98" t="inlineStr">
        <is>
          <t>Sep</t>
        </is>
      </c>
      <c r="AE13" s="98" t="inlineStr">
        <is>
          <t>Oct</t>
        </is>
      </c>
      <c r="AF13" s="98" t="inlineStr">
        <is>
          <t>Nov</t>
        </is>
      </c>
      <c r="AG13" s="98" t="inlineStr">
        <is>
          <t>Dec</t>
        </is>
      </c>
      <c r="AH13" s="98" t="inlineStr">
        <is>
          <t>Jan</t>
        </is>
      </c>
      <c r="AI13" s="98" t="inlineStr">
        <is>
          <t>Feb</t>
        </is>
      </c>
      <c r="AJ13" s="98" t="inlineStr">
        <is>
          <t>Mar</t>
        </is>
      </c>
      <c r="AK13" s="98" t="inlineStr">
        <is>
          <t>Apr</t>
        </is>
      </c>
    </row>
    <row r="14">
      <c r="A14" s="92" t="inlineStr">
        <is>
          <t>New email subscribers / month</t>
        </is>
      </c>
      <c r="B14" s="95" t="n">
        <v>5</v>
      </c>
      <c r="C14" s="95" t="n">
        <v>10</v>
      </c>
      <c r="D14" s="95" t="n">
        <v>30</v>
      </c>
      <c r="E14" s="95" t="n">
        <v>25</v>
      </c>
      <c r="F14" s="95" t="n">
        <v>30</v>
      </c>
      <c r="G14" s="95" t="n">
        <v>50</v>
      </c>
      <c r="H14" s="95" t="n">
        <v>35</v>
      </c>
      <c r="I14" s="95" t="n">
        <v>35</v>
      </c>
      <c r="J14" s="95" t="n">
        <v>60</v>
      </c>
      <c r="K14" s="95" t="n">
        <v>45</v>
      </c>
      <c r="L14" s="95" t="n">
        <v>50</v>
      </c>
      <c r="M14" s="95" t="n">
        <v>70</v>
      </c>
      <c r="N14" s="95" t="n">
        <v>75</v>
      </c>
      <c r="O14" s="95" t="n">
        <v>80</v>
      </c>
      <c r="P14" s="95" t="n">
        <v>95</v>
      </c>
      <c r="Q14" s="95" t="n">
        <v>85</v>
      </c>
      <c r="R14" s="95" t="n">
        <v>90</v>
      </c>
      <c r="S14" s="95" t="n">
        <v>105</v>
      </c>
      <c r="T14" s="95" t="n">
        <v>95</v>
      </c>
      <c r="U14" s="95" t="n">
        <v>95</v>
      </c>
      <c r="V14" s="95" t="n">
        <v>115</v>
      </c>
      <c r="W14" s="95" t="n">
        <v>105</v>
      </c>
      <c r="X14" s="95" t="n">
        <v>110</v>
      </c>
      <c r="Y14" s="95" t="n">
        <v>125</v>
      </c>
      <c r="Z14" s="95" t="n">
        <v>130</v>
      </c>
      <c r="AA14" s="95" t="n">
        <v>130</v>
      </c>
      <c r="AB14" s="95" t="n">
        <v>150</v>
      </c>
      <c r="AC14" s="95" t="n">
        <v>140</v>
      </c>
      <c r="AD14" s="95" t="n">
        <v>145</v>
      </c>
      <c r="AE14" s="95" t="n">
        <v>160</v>
      </c>
      <c r="AF14" s="95" t="n">
        <v>150</v>
      </c>
      <c r="AG14" s="95" t="n">
        <v>150</v>
      </c>
      <c r="AH14" s="95" t="n">
        <v>170</v>
      </c>
      <c r="AI14" s="95" t="n">
        <v>160</v>
      </c>
      <c r="AJ14" s="95" t="n">
        <v>165</v>
      </c>
      <c r="AK14" s="95" t="n">
        <v>180</v>
      </c>
    </row>
    <row r="15">
      <c r="A15" s="92" t="inlineStr">
        <is>
          <t>Email list size</t>
        </is>
      </c>
      <c r="B15" s="99">
        <f>B14</f>
        <v/>
      </c>
      <c r="C15" s="99">
        <f>B15*(1-$B$2)+C14</f>
        <v/>
      </c>
      <c r="D15" s="99">
        <f>C15*(1-$B$2)+D14</f>
        <v/>
      </c>
      <c r="E15" s="99">
        <f>D15*(1-$B$2)+E14</f>
        <v/>
      </c>
      <c r="F15" s="99">
        <f>E15*(1-$B$2)+F14</f>
        <v/>
      </c>
      <c r="G15" s="99">
        <f>F15*(1-$B$2)+G14</f>
        <v/>
      </c>
      <c r="H15" s="99">
        <f>G15*(1-$B$2)+H14</f>
        <v/>
      </c>
      <c r="I15" s="99">
        <f>H15*(1-$B$2)+I14</f>
        <v/>
      </c>
      <c r="J15" s="99">
        <f>I15*(1-$B$2)+J14</f>
        <v/>
      </c>
      <c r="K15" s="99">
        <f>J15*(1-$B$2)+K14</f>
        <v/>
      </c>
      <c r="L15" s="99">
        <f>K15*(1-$B$2)+L14</f>
        <v/>
      </c>
      <c r="M15" s="99">
        <f>L15*(1-$B$2)+M14</f>
        <v/>
      </c>
      <c r="N15" s="99">
        <f>M15*(1-$B$2)+N14</f>
        <v/>
      </c>
      <c r="O15" s="99">
        <f>N15*(1-$B$2)+O14</f>
        <v/>
      </c>
      <c r="P15" s="99">
        <f>O15*(1-$B$2)+P14</f>
        <v/>
      </c>
      <c r="Q15" s="99">
        <f>P15*(1-$B$2)+Q14</f>
        <v/>
      </c>
      <c r="R15" s="99">
        <f>Q15*(1-$B$2)+R14</f>
        <v/>
      </c>
      <c r="S15" s="99">
        <f>R15*(1-$B$2)+S14</f>
        <v/>
      </c>
      <c r="T15" s="99">
        <f>S15*(1-$B$2)+T14</f>
        <v/>
      </c>
      <c r="U15" s="99">
        <f>T15*(1-$B$2)+U14</f>
        <v/>
      </c>
      <c r="V15" s="99">
        <f>U15*(1-$B$2)+V14</f>
        <v/>
      </c>
      <c r="W15" s="99">
        <f>V15*(1-$B$2)+W14</f>
        <v/>
      </c>
      <c r="X15" s="99">
        <f>W15*(1-$B$2)+X14</f>
        <v/>
      </c>
      <c r="Y15" s="99">
        <f>X15*(1-$B$2)+Y14</f>
        <v/>
      </c>
      <c r="Z15" s="99">
        <f>Y15*(1-$B$2)+Z14</f>
        <v/>
      </c>
      <c r="AA15" s="99">
        <f>Z15*(1-$B$2)+AA14</f>
        <v/>
      </c>
      <c r="AB15" s="99">
        <f>AA15*(1-$B$2)+AB14</f>
        <v/>
      </c>
      <c r="AC15" s="99">
        <f>AB15*(1-$B$2)+AC14</f>
        <v/>
      </c>
      <c r="AD15" s="99">
        <f>AC15*(1-$B$2)+AD14</f>
        <v/>
      </c>
      <c r="AE15" s="99">
        <f>AD15*(1-$B$2)+AE14</f>
        <v/>
      </c>
      <c r="AF15" s="99">
        <f>AE15*(1-$B$2)+AF14</f>
        <v/>
      </c>
      <c r="AG15" s="99">
        <f>AF15*(1-$B$2)+AG14</f>
        <v/>
      </c>
      <c r="AH15" s="99">
        <f>AG15*(1-$B$2)+AH14</f>
        <v/>
      </c>
      <c r="AI15" s="99">
        <f>AH15*(1-$B$2)+AI14</f>
        <v/>
      </c>
      <c r="AJ15" s="99">
        <f>AI15*(1-$B$2)+AJ14</f>
        <v/>
      </c>
      <c r="AK15" s="99">
        <f>AJ15*(1-$B$2)+AK14</f>
        <v/>
      </c>
    </row>
    <row r="16">
      <c r="A16" s="92" t="inlineStr">
        <is>
          <t>Paid challenge — standard tickets / month</t>
        </is>
      </c>
      <c r="B16" s="95" t="n">
        <v>0</v>
      </c>
      <c r="C16" s="95" t="n">
        <v>0</v>
      </c>
      <c r="D16" s="95" t="n">
        <v>25</v>
      </c>
      <c r="E16" s="95" t="n">
        <v>0</v>
      </c>
      <c r="F16" s="95" t="n">
        <v>0</v>
      </c>
      <c r="G16" s="95" t="n">
        <v>30</v>
      </c>
      <c r="H16" s="95" t="n">
        <v>0</v>
      </c>
      <c r="I16" s="95" t="n">
        <v>0</v>
      </c>
      <c r="J16" s="95" t="n">
        <v>35</v>
      </c>
      <c r="K16" s="95" t="n">
        <v>0</v>
      </c>
      <c r="L16" s="95" t="n">
        <v>0</v>
      </c>
      <c r="M16" s="95" t="n">
        <v>40</v>
      </c>
      <c r="N16" s="95" t="n">
        <v>0</v>
      </c>
      <c r="O16" s="95" t="n">
        <v>0</v>
      </c>
      <c r="P16" s="95" t="n">
        <v>45</v>
      </c>
      <c r="Q16" s="95" t="n">
        <v>0</v>
      </c>
      <c r="R16" s="95" t="n">
        <v>0</v>
      </c>
      <c r="S16" s="95" t="n">
        <v>50</v>
      </c>
      <c r="T16" s="95" t="n">
        <v>0</v>
      </c>
      <c r="U16" s="95" t="n">
        <v>0</v>
      </c>
      <c r="V16" s="95" t="n">
        <v>55</v>
      </c>
      <c r="W16" s="95" t="n">
        <v>0</v>
      </c>
      <c r="X16" s="95" t="n">
        <v>0</v>
      </c>
      <c r="Y16" s="95" t="n">
        <v>60</v>
      </c>
      <c r="Z16" s="95" t="n">
        <v>0</v>
      </c>
      <c r="AA16" s="95" t="n">
        <v>0</v>
      </c>
      <c r="AB16" s="95" t="n">
        <v>60</v>
      </c>
      <c r="AC16" s="95" t="n">
        <v>0</v>
      </c>
      <c r="AD16" s="95" t="n">
        <v>0</v>
      </c>
      <c r="AE16" s="95" t="n">
        <v>65</v>
      </c>
      <c r="AF16" s="95" t="n">
        <v>0</v>
      </c>
      <c r="AG16" s="95" t="n">
        <v>0</v>
      </c>
      <c r="AH16" s="95" t="n">
        <v>70</v>
      </c>
      <c r="AI16" s="95" t="n">
        <v>0</v>
      </c>
      <c r="AJ16" s="95" t="n">
        <v>0</v>
      </c>
      <c r="AK16" s="95" t="n">
        <v>75</v>
      </c>
    </row>
    <row r="17">
      <c r="A17" s="92" t="inlineStr">
        <is>
          <t>Paid challenge — VIP tickets / month</t>
        </is>
      </c>
      <c r="B17" s="95" t="n">
        <v>0</v>
      </c>
      <c r="C17" s="95" t="n">
        <v>0</v>
      </c>
      <c r="D17" s="95" t="n">
        <v>5</v>
      </c>
      <c r="E17" s="95" t="n">
        <v>0</v>
      </c>
      <c r="F17" s="95" t="n">
        <v>0</v>
      </c>
      <c r="G17" s="95" t="n">
        <v>6</v>
      </c>
      <c r="H17" s="95" t="n">
        <v>0</v>
      </c>
      <c r="I17" s="95" t="n">
        <v>0</v>
      </c>
      <c r="J17" s="95" t="n">
        <v>7</v>
      </c>
      <c r="K17" s="95" t="n">
        <v>0</v>
      </c>
      <c r="L17" s="95" t="n">
        <v>0</v>
      </c>
      <c r="M17" s="95" t="n">
        <v>8</v>
      </c>
      <c r="N17" s="95" t="n">
        <v>0</v>
      </c>
      <c r="O17" s="95" t="n">
        <v>0</v>
      </c>
      <c r="P17" s="95" t="n">
        <v>9</v>
      </c>
      <c r="Q17" s="95" t="n">
        <v>0</v>
      </c>
      <c r="R17" s="95" t="n">
        <v>0</v>
      </c>
      <c r="S17" s="95" t="n">
        <v>10</v>
      </c>
      <c r="T17" s="95" t="n">
        <v>0</v>
      </c>
      <c r="U17" s="95" t="n">
        <v>0</v>
      </c>
      <c r="V17" s="95" t="n">
        <v>11</v>
      </c>
      <c r="W17" s="95" t="n">
        <v>0</v>
      </c>
      <c r="X17" s="95" t="n">
        <v>0</v>
      </c>
      <c r="Y17" s="95" t="n">
        <v>12</v>
      </c>
      <c r="Z17" s="95" t="n">
        <v>0</v>
      </c>
      <c r="AA17" s="95" t="n">
        <v>0</v>
      </c>
      <c r="AB17" s="95" t="n">
        <v>12</v>
      </c>
      <c r="AC17" s="95" t="n">
        <v>0</v>
      </c>
      <c r="AD17" s="95" t="n">
        <v>0</v>
      </c>
      <c r="AE17" s="95" t="n">
        <v>13</v>
      </c>
      <c r="AF17" s="95" t="n">
        <v>0</v>
      </c>
      <c r="AG17" s="95" t="n">
        <v>0</v>
      </c>
      <c r="AH17" s="95" t="n">
        <v>14</v>
      </c>
      <c r="AI17" s="95" t="n">
        <v>0</v>
      </c>
      <c r="AJ17" s="95" t="n">
        <v>0</v>
      </c>
      <c r="AK17" s="95" t="n">
        <v>15</v>
      </c>
    </row>
    <row r="18">
      <c r="A18" s="92" t="inlineStr">
        <is>
          <t>Challenge revenue</t>
        </is>
      </c>
      <c r="B18" s="100">
        <f>B16*$B$5+B17*$B$6</f>
        <v/>
      </c>
      <c r="C18" s="100">
        <f>C16*$B$5+C17*$B$6</f>
        <v/>
      </c>
      <c r="D18" s="100">
        <f>D16*$B$5+D17*$B$6</f>
        <v/>
      </c>
      <c r="E18" s="100">
        <f>E16*$B$5+E17*$B$6</f>
        <v/>
      </c>
      <c r="F18" s="100">
        <f>F16*$B$5+F17*$B$6</f>
        <v/>
      </c>
      <c r="G18" s="100">
        <f>G16*$B$5+G17*$B$6</f>
        <v/>
      </c>
      <c r="H18" s="100">
        <f>H16*$B$5+H17*$B$6</f>
        <v/>
      </c>
      <c r="I18" s="100">
        <f>I16*$B$5+I17*$B$6</f>
        <v/>
      </c>
      <c r="J18" s="100">
        <f>J16*$B$5+J17*$B$6</f>
        <v/>
      </c>
      <c r="K18" s="100">
        <f>K16*$B$5+K17*$B$6</f>
        <v/>
      </c>
      <c r="L18" s="100">
        <f>L16*$B$5+L17*$B$6</f>
        <v/>
      </c>
      <c r="M18" s="100">
        <f>M16*$B$5+M17*$B$6</f>
        <v/>
      </c>
      <c r="N18" s="100">
        <f>N16*$B$5+N17*$B$6</f>
        <v/>
      </c>
      <c r="O18" s="100">
        <f>O16*$B$5+O17*$B$6</f>
        <v/>
      </c>
      <c r="P18" s="100">
        <f>P16*$B$5+P17*$B$6</f>
        <v/>
      </c>
      <c r="Q18" s="100">
        <f>Q16*$B$5+Q17*$B$6</f>
        <v/>
      </c>
      <c r="R18" s="100">
        <f>R16*$B$5+R17*$B$6</f>
        <v/>
      </c>
      <c r="S18" s="100">
        <f>S16*$B$5+S17*$B$6</f>
        <v/>
      </c>
      <c r="T18" s="100">
        <f>T16*$B$5+T17*$B$6</f>
        <v/>
      </c>
      <c r="U18" s="100">
        <f>U16*$B$5+U17*$B$6</f>
        <v/>
      </c>
      <c r="V18" s="100">
        <f>V16*$B$5+V17*$B$6</f>
        <v/>
      </c>
      <c r="W18" s="100">
        <f>W16*$B$5+W17*$B$6</f>
        <v/>
      </c>
      <c r="X18" s="100">
        <f>X16*$B$5+X17*$B$6</f>
        <v/>
      </c>
      <c r="Y18" s="100">
        <f>Y16*$B$5+Y17*$B$6</f>
        <v/>
      </c>
      <c r="Z18" s="100">
        <f>Z16*$B$5+Z17*$B$6</f>
        <v/>
      </c>
      <c r="AA18" s="100">
        <f>AA16*$B$5+AA17*$B$6</f>
        <v/>
      </c>
      <c r="AB18" s="100">
        <f>AB16*$B$5+AB17*$B$6</f>
        <v/>
      </c>
      <c r="AC18" s="100">
        <f>AC16*$B$5+AC17*$B$6</f>
        <v/>
      </c>
      <c r="AD18" s="100">
        <f>AD16*$B$5+AD17*$B$6</f>
        <v/>
      </c>
      <c r="AE18" s="100">
        <f>AE16*$B$5+AE17*$B$6</f>
        <v/>
      </c>
      <c r="AF18" s="100">
        <f>AF16*$B$5+AF17*$B$6</f>
        <v/>
      </c>
      <c r="AG18" s="100">
        <f>AG16*$B$5+AG17*$B$6</f>
        <v/>
      </c>
      <c r="AH18" s="100">
        <f>AH16*$B$5+AH17*$B$6</f>
        <v/>
      </c>
      <c r="AI18" s="100">
        <f>AI16*$B$5+AI17*$B$6</f>
        <v/>
      </c>
      <c r="AJ18" s="100">
        <f>AJ16*$B$5+AJ17*$B$6</f>
        <v/>
      </c>
      <c r="AK18" s="100">
        <f>AK16*$B$5+AK17*$B$6</f>
        <v/>
      </c>
    </row>
    <row r="19">
      <c r="A19" s="92" t="inlineStr">
        <is>
          <t>Cohort run month (0 / 1)</t>
        </is>
      </c>
      <c r="B19" s="95" t="n">
        <v>0</v>
      </c>
      <c r="C19" s="95" t="n">
        <v>0</v>
      </c>
      <c r="D19" s="95" t="n">
        <v>1</v>
      </c>
      <c r="E19" s="95" t="n">
        <v>0</v>
      </c>
      <c r="F19" s="95" t="n">
        <v>0</v>
      </c>
      <c r="G19" s="95" t="n">
        <v>1</v>
      </c>
      <c r="H19" s="95" t="n">
        <v>0</v>
      </c>
      <c r="I19" s="95" t="n">
        <v>0</v>
      </c>
      <c r="J19" s="95" t="n">
        <v>1</v>
      </c>
      <c r="K19" s="95" t="n">
        <v>0</v>
      </c>
      <c r="L19" s="95" t="n">
        <v>0</v>
      </c>
      <c r="M19" s="95" t="n">
        <v>1</v>
      </c>
      <c r="N19" s="95" t="n">
        <v>0</v>
      </c>
      <c r="O19" s="95" t="n">
        <v>0</v>
      </c>
      <c r="P19" s="95" t="n">
        <v>1</v>
      </c>
      <c r="Q19" s="95" t="n">
        <v>0</v>
      </c>
      <c r="R19" s="95" t="n">
        <v>0</v>
      </c>
      <c r="S19" s="95" t="n">
        <v>1</v>
      </c>
      <c r="T19" s="95" t="n">
        <v>0</v>
      </c>
      <c r="U19" s="95" t="n">
        <v>0</v>
      </c>
      <c r="V19" s="95" t="n">
        <v>1</v>
      </c>
      <c r="W19" s="95" t="n">
        <v>0</v>
      </c>
      <c r="X19" s="95" t="n">
        <v>0</v>
      </c>
      <c r="Y19" s="95" t="n">
        <v>1</v>
      </c>
      <c r="Z19" s="95" t="n">
        <v>0</v>
      </c>
      <c r="AA19" s="95" t="n">
        <v>0</v>
      </c>
      <c r="AB19" s="95" t="n">
        <v>1</v>
      </c>
      <c r="AC19" s="95" t="n">
        <v>0</v>
      </c>
      <c r="AD19" s="95" t="n">
        <v>0</v>
      </c>
      <c r="AE19" s="95" t="n">
        <v>1</v>
      </c>
      <c r="AF19" s="95" t="n">
        <v>0</v>
      </c>
      <c r="AG19" s="95" t="n">
        <v>0</v>
      </c>
      <c r="AH19" s="95" t="n">
        <v>1</v>
      </c>
      <c r="AI19" s="95" t="n">
        <v>0</v>
      </c>
      <c r="AJ19" s="95" t="n">
        <v>0</v>
      </c>
      <c r="AK19" s="95" t="n">
        <v>1</v>
      </c>
    </row>
    <row r="20">
      <c r="A20" s="92" t="inlineStr">
        <is>
          <t>Cohort revenue</t>
        </is>
      </c>
      <c r="B20" s="100">
        <f>B19*$B$4*$B$3</f>
        <v/>
      </c>
      <c r="C20" s="100">
        <f>C19*$B$4*$B$3</f>
        <v/>
      </c>
      <c r="D20" s="100">
        <f>D19*$B$4*$B$3</f>
        <v/>
      </c>
      <c r="E20" s="100">
        <f>E19*$B$4*$B$3</f>
        <v/>
      </c>
      <c r="F20" s="100">
        <f>F19*$B$4*$B$3</f>
        <v/>
      </c>
      <c r="G20" s="100">
        <f>G19*$B$4*$B$3</f>
        <v/>
      </c>
      <c r="H20" s="100">
        <f>H19*$B$4*$B$3</f>
        <v/>
      </c>
      <c r="I20" s="100">
        <f>I19*$B$4*$B$3</f>
        <v/>
      </c>
      <c r="J20" s="100">
        <f>J19*$B$4*$B$3</f>
        <v/>
      </c>
      <c r="K20" s="100">
        <f>K19*$B$4*$B$3</f>
        <v/>
      </c>
      <c r="L20" s="100">
        <f>L19*$B$4*$B$3</f>
        <v/>
      </c>
      <c r="M20" s="100">
        <f>M19*$B$4*$B$3</f>
        <v/>
      </c>
      <c r="N20" s="100">
        <f>N19*$B$4*$B$3</f>
        <v/>
      </c>
      <c r="O20" s="100">
        <f>O19*$B$4*$B$3</f>
        <v/>
      </c>
      <c r="P20" s="100">
        <f>P19*$B$4*$B$3</f>
        <v/>
      </c>
      <c r="Q20" s="100">
        <f>Q19*$B$4*$B$3</f>
        <v/>
      </c>
      <c r="R20" s="100">
        <f>R19*$B$4*$B$3</f>
        <v/>
      </c>
      <c r="S20" s="100">
        <f>S19*$B$4*$B$3</f>
        <v/>
      </c>
      <c r="T20" s="100">
        <f>T19*$B$4*$B$3</f>
        <v/>
      </c>
      <c r="U20" s="100">
        <f>U19*$B$4*$B$3</f>
        <v/>
      </c>
      <c r="V20" s="100">
        <f>V19*$B$4*$B$3</f>
        <v/>
      </c>
      <c r="W20" s="100">
        <f>W19*$B$4*$B$3</f>
        <v/>
      </c>
      <c r="X20" s="100">
        <f>X19*$B$4*$B$3</f>
        <v/>
      </c>
      <c r="Y20" s="100">
        <f>Y19*$B$4*$B$3</f>
        <v/>
      </c>
      <c r="Z20" s="100">
        <f>Z19*$B$4*$B$3</f>
        <v/>
      </c>
      <c r="AA20" s="100">
        <f>AA19*$B$4*$B$3</f>
        <v/>
      </c>
      <c r="AB20" s="100">
        <f>AB19*$B$4*$B$3</f>
        <v/>
      </c>
      <c r="AC20" s="100">
        <f>AC19*$B$4*$B$3</f>
        <v/>
      </c>
      <c r="AD20" s="100">
        <f>AD19*$B$4*$B$3</f>
        <v/>
      </c>
      <c r="AE20" s="100">
        <f>AE19*$B$4*$B$3</f>
        <v/>
      </c>
      <c r="AF20" s="100">
        <f>AF19*$B$4*$B$3</f>
        <v/>
      </c>
      <c r="AG20" s="100">
        <f>AG19*$B$4*$B$3</f>
        <v/>
      </c>
      <c r="AH20" s="100">
        <f>AH19*$B$4*$B$3</f>
        <v/>
      </c>
      <c r="AI20" s="100">
        <f>AI19*$B$4*$B$3</f>
        <v/>
      </c>
      <c r="AJ20" s="100">
        <f>AJ19*$B$4*$B$3</f>
        <v/>
      </c>
      <c r="AK20" s="100">
        <f>AK19*$B$4*$B$3</f>
        <v/>
      </c>
    </row>
    <row r="21">
      <c r="A21" s="92" t="inlineStr">
        <is>
          <t>New SaaS customers / month</t>
        </is>
      </c>
      <c r="B21" s="95" t="n">
        <v>0</v>
      </c>
      <c r="C21" s="95" t="n">
        <v>0</v>
      </c>
      <c r="D21" s="95" t="n">
        <v>0</v>
      </c>
      <c r="E21" s="95" t="n">
        <v>0</v>
      </c>
      <c r="F21" s="95" t="n">
        <v>0</v>
      </c>
      <c r="G21" s="95" t="n">
        <v>0</v>
      </c>
      <c r="H21" s="95" t="n">
        <v>0</v>
      </c>
      <c r="I21" s="95" t="n">
        <v>0</v>
      </c>
      <c r="J21" s="95" t="n">
        <v>1</v>
      </c>
      <c r="K21" s="95" t="n">
        <v>0</v>
      </c>
      <c r="L21" s="95" t="n">
        <v>0</v>
      </c>
      <c r="M21" s="95" t="n">
        <v>1</v>
      </c>
      <c r="N21" s="95" t="n">
        <v>0</v>
      </c>
      <c r="O21" s="95" t="n">
        <v>0</v>
      </c>
      <c r="P21" s="95" t="n">
        <v>2</v>
      </c>
      <c r="Q21" s="95" t="n">
        <v>0</v>
      </c>
      <c r="R21" s="95" t="n">
        <v>0</v>
      </c>
      <c r="S21" s="95" t="n">
        <v>2</v>
      </c>
      <c r="T21" s="95" t="n">
        <v>0</v>
      </c>
      <c r="U21" s="95" t="n">
        <v>0</v>
      </c>
      <c r="V21" s="95" t="n">
        <v>2</v>
      </c>
      <c r="W21" s="95" t="n">
        <v>0</v>
      </c>
      <c r="X21" s="95" t="n">
        <v>0</v>
      </c>
      <c r="Y21" s="95" t="n">
        <v>3</v>
      </c>
      <c r="Z21" s="95" t="n">
        <v>0</v>
      </c>
      <c r="AA21" s="95" t="n">
        <v>0</v>
      </c>
      <c r="AB21" s="95" t="n">
        <v>3</v>
      </c>
      <c r="AC21" s="95" t="n">
        <v>0</v>
      </c>
      <c r="AD21" s="95" t="n">
        <v>0</v>
      </c>
      <c r="AE21" s="95" t="n">
        <v>3</v>
      </c>
      <c r="AF21" s="95" t="n">
        <v>0</v>
      </c>
      <c r="AG21" s="95" t="n">
        <v>0</v>
      </c>
      <c r="AH21" s="95" t="n">
        <v>3</v>
      </c>
      <c r="AI21" s="95" t="n">
        <v>0</v>
      </c>
      <c r="AJ21" s="95" t="n">
        <v>0</v>
      </c>
      <c r="AK21" s="95" t="n">
        <v>3</v>
      </c>
    </row>
    <row r="22">
      <c r="A22" s="92" t="inlineStr">
        <is>
          <t>Total active SaaS customers</t>
        </is>
      </c>
      <c r="B22" s="99">
        <f>B21</f>
        <v/>
      </c>
      <c r="C22" s="99">
        <f>B22*(1-$B$8)^(1/12)+C21</f>
        <v/>
      </c>
      <c r="D22" s="99">
        <f>C22*(1-$B$8)^(1/12)+D21</f>
        <v/>
      </c>
      <c r="E22" s="99">
        <f>D22*(1-$B$8)^(1/12)+E21</f>
        <v/>
      </c>
      <c r="F22" s="99">
        <f>E22*(1-$B$8)^(1/12)+F21</f>
        <v/>
      </c>
      <c r="G22" s="99">
        <f>F22*(1-$B$8)^(1/12)+G21</f>
        <v/>
      </c>
      <c r="H22" s="99">
        <f>G22*(1-$B$8)^(1/12)+H21</f>
        <v/>
      </c>
      <c r="I22" s="99">
        <f>H22*(1-$B$8)^(1/12)+I21</f>
        <v/>
      </c>
      <c r="J22" s="99">
        <f>I22*(1-$B$8)^(1/12)+J21</f>
        <v/>
      </c>
      <c r="K22" s="99">
        <f>J22*(1-$B$8)^(1/12)+K21</f>
        <v/>
      </c>
      <c r="L22" s="99">
        <f>K22*(1-$B$8)^(1/12)+L21</f>
        <v/>
      </c>
      <c r="M22" s="99">
        <f>L22*(1-$B$8)^(1/12)+M21</f>
        <v/>
      </c>
      <c r="N22" s="99">
        <f>M22*(1-$B$8)^(1/12)+N21</f>
        <v/>
      </c>
      <c r="O22" s="99">
        <f>N22*(1-$B$8)^(1/12)+O21</f>
        <v/>
      </c>
      <c r="P22" s="99">
        <f>O22*(1-$B$8)^(1/12)+P21</f>
        <v/>
      </c>
      <c r="Q22" s="99">
        <f>P22*(1-$B$8)^(1/12)+Q21</f>
        <v/>
      </c>
      <c r="R22" s="99">
        <f>Q22*(1-$B$8)^(1/12)+R21</f>
        <v/>
      </c>
      <c r="S22" s="99">
        <f>R22*(1-$B$8)^(1/12)+S21</f>
        <v/>
      </c>
      <c r="T22" s="99">
        <f>S22*(1-$B$8)^(1/12)+T21</f>
        <v/>
      </c>
      <c r="U22" s="99">
        <f>T22*(1-$B$8)^(1/12)+U21</f>
        <v/>
      </c>
      <c r="V22" s="99">
        <f>U22*(1-$B$8)^(1/12)+V21</f>
        <v/>
      </c>
      <c r="W22" s="99">
        <f>V22*(1-$B$8)^(1/12)+W21</f>
        <v/>
      </c>
      <c r="X22" s="99">
        <f>W22*(1-$B$8)^(1/12)+X21</f>
        <v/>
      </c>
      <c r="Y22" s="99">
        <f>X22*(1-$B$8)^(1/12)+Y21</f>
        <v/>
      </c>
      <c r="Z22" s="99">
        <f>Y22*(1-$B$8)^(1/12)+Z21</f>
        <v/>
      </c>
      <c r="AA22" s="99">
        <f>Z22*(1-$B$8)^(1/12)+AA21</f>
        <v/>
      </c>
      <c r="AB22" s="99">
        <f>AA22*(1-$B$8)^(1/12)+AB21</f>
        <v/>
      </c>
      <c r="AC22" s="99">
        <f>AB22*(1-$B$8)^(1/12)+AC21</f>
        <v/>
      </c>
      <c r="AD22" s="99">
        <f>AC22*(1-$B$8)^(1/12)+AD21</f>
        <v/>
      </c>
      <c r="AE22" s="99">
        <f>AD22*(1-$B$8)^(1/12)+AE21</f>
        <v/>
      </c>
      <c r="AF22" s="99">
        <f>AE22*(1-$B$8)^(1/12)+AF21</f>
        <v/>
      </c>
      <c r="AG22" s="99">
        <f>AF22*(1-$B$8)^(1/12)+AG21</f>
        <v/>
      </c>
      <c r="AH22" s="99">
        <f>AG22*(1-$B$8)^(1/12)+AH21</f>
        <v/>
      </c>
      <c r="AI22" s="99">
        <f>AH22*(1-$B$8)^(1/12)+AI21</f>
        <v/>
      </c>
      <c r="AJ22" s="99">
        <f>AI22*(1-$B$8)^(1/12)+AJ21</f>
        <v/>
      </c>
      <c r="AK22" s="99">
        <f>AJ22*(1-$B$8)^(1/12)+AK21</f>
        <v/>
      </c>
    </row>
    <row r="23">
      <c r="A23" s="92" t="inlineStr">
        <is>
          <t>SaaS revenue (monthly recognition)</t>
        </is>
      </c>
      <c r="B23" s="100">
        <f>B22*$B$7/12</f>
        <v/>
      </c>
      <c r="C23" s="100">
        <f>C22*$B$7/12</f>
        <v/>
      </c>
      <c r="D23" s="100">
        <f>D22*$B$7/12</f>
        <v/>
      </c>
      <c r="E23" s="100">
        <f>E22*$B$7/12</f>
        <v/>
      </c>
      <c r="F23" s="100">
        <f>F22*$B$7/12</f>
        <v/>
      </c>
      <c r="G23" s="100">
        <f>G22*$B$7/12</f>
        <v/>
      </c>
      <c r="H23" s="100">
        <f>H22*$B$7/12</f>
        <v/>
      </c>
      <c r="I23" s="100">
        <f>I22*$B$7/12</f>
        <v/>
      </c>
      <c r="J23" s="100">
        <f>J22*$B$7/12</f>
        <v/>
      </c>
      <c r="K23" s="100">
        <f>K22*$B$7/12</f>
        <v/>
      </c>
      <c r="L23" s="100">
        <f>L22*$B$7/12</f>
        <v/>
      </c>
      <c r="M23" s="100">
        <f>M22*$B$7/12</f>
        <v/>
      </c>
      <c r="N23" s="100">
        <f>N22*$B$7/12</f>
        <v/>
      </c>
      <c r="O23" s="100">
        <f>O22*$B$7/12</f>
        <v/>
      </c>
      <c r="P23" s="100">
        <f>P22*$B$7/12</f>
        <v/>
      </c>
      <c r="Q23" s="100">
        <f>Q22*$B$7/12</f>
        <v/>
      </c>
      <c r="R23" s="100">
        <f>R22*$B$7/12</f>
        <v/>
      </c>
      <c r="S23" s="100">
        <f>S22*$B$7/12</f>
        <v/>
      </c>
      <c r="T23" s="100">
        <f>T22*$B$7/12</f>
        <v/>
      </c>
      <c r="U23" s="100">
        <f>U22*$B$7/12</f>
        <v/>
      </c>
      <c r="V23" s="100">
        <f>V22*$B$7/12</f>
        <v/>
      </c>
      <c r="W23" s="100">
        <f>W22*$B$7/12</f>
        <v/>
      </c>
      <c r="X23" s="100">
        <f>X22*$B$7/12</f>
        <v/>
      </c>
      <c r="Y23" s="100">
        <f>Y22*$B$7/12</f>
        <v/>
      </c>
      <c r="Z23" s="100">
        <f>Z22*$B$7/12</f>
        <v/>
      </c>
      <c r="AA23" s="100">
        <f>AA22*$B$7/12</f>
        <v/>
      </c>
      <c r="AB23" s="100">
        <f>AB22*$B$7/12</f>
        <v/>
      </c>
      <c r="AC23" s="100">
        <f>AC22*$B$7/12</f>
        <v/>
      </c>
      <c r="AD23" s="100">
        <f>AD22*$B$7/12</f>
        <v/>
      </c>
      <c r="AE23" s="100">
        <f>AE22*$B$7/12</f>
        <v/>
      </c>
      <c r="AF23" s="100">
        <f>AF22*$B$7/12</f>
        <v/>
      </c>
      <c r="AG23" s="100">
        <f>AG22*$B$7/12</f>
        <v/>
      </c>
      <c r="AH23" s="100">
        <f>AH22*$B$7/12</f>
        <v/>
      </c>
      <c r="AI23" s="100">
        <f>AI22*$B$7/12</f>
        <v/>
      </c>
      <c r="AJ23" s="100">
        <f>AJ22*$B$7/12</f>
        <v/>
      </c>
      <c r="AK23" s="100">
        <f>AK22*$B$7/12</f>
        <v/>
      </c>
    </row>
    <row r="24">
      <c r="A24" s="90" t="inlineStr">
        <is>
          <t>TOTAL REVENUE</t>
        </is>
      </c>
      <c r="B24" s="100">
        <f>B18+B20+B23</f>
        <v/>
      </c>
      <c r="C24" s="100">
        <f>C18+C20+C23</f>
        <v/>
      </c>
      <c r="D24" s="100">
        <f>D18+D20+D23</f>
        <v/>
      </c>
      <c r="E24" s="100">
        <f>E18+E20+E23</f>
        <v/>
      </c>
      <c r="F24" s="100">
        <f>F18+F20+F23</f>
        <v/>
      </c>
      <c r="G24" s="100">
        <f>G18+G20+G23</f>
        <v/>
      </c>
      <c r="H24" s="100">
        <f>H18+H20+H23</f>
        <v/>
      </c>
      <c r="I24" s="100">
        <f>I18+I20+I23</f>
        <v/>
      </c>
      <c r="J24" s="100">
        <f>J18+J20+J23</f>
        <v/>
      </c>
      <c r="K24" s="100">
        <f>K18+K20+K23</f>
        <v/>
      </c>
      <c r="L24" s="100">
        <f>L18+L20+L23</f>
        <v/>
      </c>
      <c r="M24" s="100">
        <f>M18+M20+M23</f>
        <v/>
      </c>
      <c r="N24" s="100">
        <f>N18+N20+N23</f>
        <v/>
      </c>
      <c r="O24" s="100">
        <f>O18+O20+O23</f>
        <v/>
      </c>
      <c r="P24" s="100">
        <f>P18+P20+P23</f>
        <v/>
      </c>
      <c r="Q24" s="100">
        <f>Q18+Q20+Q23</f>
        <v/>
      </c>
      <c r="R24" s="100">
        <f>R18+R20+R23</f>
        <v/>
      </c>
      <c r="S24" s="100">
        <f>S18+S20+S23</f>
        <v/>
      </c>
      <c r="T24" s="100">
        <f>T18+T20+T23</f>
        <v/>
      </c>
      <c r="U24" s="100">
        <f>U18+U20+U23</f>
        <v/>
      </c>
      <c r="V24" s="100">
        <f>V18+V20+V23</f>
        <v/>
      </c>
      <c r="W24" s="100">
        <f>W18+W20+W23</f>
        <v/>
      </c>
      <c r="X24" s="100">
        <f>X18+X20+X23</f>
        <v/>
      </c>
      <c r="Y24" s="100">
        <f>Y18+Y20+Y23</f>
        <v/>
      </c>
      <c r="Z24" s="100">
        <f>Z18+Z20+Z23</f>
        <v/>
      </c>
      <c r="AA24" s="100">
        <f>AA18+AA20+AA23</f>
        <v/>
      </c>
      <c r="AB24" s="100">
        <f>AB18+AB20+AB23</f>
        <v/>
      </c>
      <c r="AC24" s="100">
        <f>AC18+AC20+AC23</f>
        <v/>
      </c>
      <c r="AD24" s="100">
        <f>AD18+AD20+AD23</f>
        <v/>
      </c>
      <c r="AE24" s="100">
        <f>AE18+AE20+AE23</f>
        <v/>
      </c>
      <c r="AF24" s="100">
        <f>AF18+AF20+AF23</f>
        <v/>
      </c>
      <c r="AG24" s="100">
        <f>AG18+AG20+AG23</f>
        <v/>
      </c>
      <c r="AH24" s="100">
        <f>AH18+AH20+AH23</f>
        <v/>
      </c>
      <c r="AI24" s="100">
        <f>AI18+AI20+AI23</f>
        <v/>
      </c>
      <c r="AJ24" s="100">
        <f>AJ18+AJ20+AJ23</f>
        <v/>
      </c>
      <c r="AK24" s="100">
        <f>AK18+AK20+AK23</f>
        <v/>
      </c>
    </row>
    <row r="25">
      <c r="A25" s="92" t="inlineStr">
        <is>
          <t>Server units</t>
        </is>
      </c>
      <c r="B25" s="95" t="n">
        <v>1</v>
      </c>
      <c r="C25" s="95" t="n">
        <v>1</v>
      </c>
      <c r="D25" s="95" t="n">
        <v>1</v>
      </c>
      <c r="E25" s="95" t="n">
        <v>1</v>
      </c>
      <c r="F25" s="95" t="n">
        <v>1</v>
      </c>
      <c r="G25" s="95" t="n">
        <v>1</v>
      </c>
      <c r="H25" s="95" t="n">
        <v>1</v>
      </c>
      <c r="I25" s="95" t="n">
        <v>1</v>
      </c>
      <c r="J25" s="95" t="n">
        <v>1</v>
      </c>
      <c r="K25" s="95" t="n">
        <v>1</v>
      </c>
      <c r="L25" s="95" t="n">
        <v>1</v>
      </c>
      <c r="M25" s="95" t="n">
        <v>1</v>
      </c>
      <c r="N25" s="95" t="n">
        <v>1</v>
      </c>
      <c r="O25" s="95" t="n">
        <v>1</v>
      </c>
      <c r="P25" s="95" t="n">
        <v>1</v>
      </c>
      <c r="Q25" s="95" t="n">
        <v>1</v>
      </c>
      <c r="R25" s="95" t="n">
        <v>1</v>
      </c>
      <c r="S25" s="95" t="n">
        <v>1</v>
      </c>
      <c r="T25" s="95" t="n">
        <v>1</v>
      </c>
      <c r="U25" s="95" t="n">
        <v>1</v>
      </c>
      <c r="V25" s="95" t="n">
        <v>1</v>
      </c>
      <c r="W25" s="95" t="n">
        <v>1</v>
      </c>
      <c r="X25" s="95" t="n">
        <v>1</v>
      </c>
      <c r="Y25" s="95" t="n">
        <v>1</v>
      </c>
      <c r="Z25" s="95" t="n">
        <v>1</v>
      </c>
      <c r="AA25" s="95" t="n">
        <v>1</v>
      </c>
      <c r="AB25" s="95" t="n">
        <v>1</v>
      </c>
      <c r="AC25" s="95" t="n">
        <v>1</v>
      </c>
      <c r="AD25" s="95" t="n">
        <v>1</v>
      </c>
      <c r="AE25" s="95" t="n">
        <v>1</v>
      </c>
      <c r="AF25" s="95" t="n">
        <v>1</v>
      </c>
      <c r="AG25" s="95" t="n">
        <v>1</v>
      </c>
      <c r="AH25" s="95" t="n">
        <v>1</v>
      </c>
      <c r="AI25" s="95" t="n">
        <v>1</v>
      </c>
      <c r="AJ25" s="95" t="n">
        <v>1</v>
      </c>
      <c r="AK25" s="95" t="n">
        <v>1</v>
      </c>
    </row>
    <row r="26">
      <c r="A26" s="92" t="inlineStr">
        <is>
          <t>Infrastructure cost</t>
        </is>
      </c>
      <c r="B26" s="100">
        <f>B25*$B$10</f>
        <v/>
      </c>
      <c r="C26" s="100">
        <f>C25*$B$10</f>
        <v/>
      </c>
      <c r="D26" s="100">
        <f>D25*$B$10</f>
        <v/>
      </c>
      <c r="E26" s="100">
        <f>E25*$B$10</f>
        <v/>
      </c>
      <c r="F26" s="100">
        <f>F25*$B$10</f>
        <v/>
      </c>
      <c r="G26" s="100">
        <f>G25*$B$10</f>
        <v/>
      </c>
      <c r="H26" s="100">
        <f>H25*$B$10</f>
        <v/>
      </c>
      <c r="I26" s="100">
        <f>I25*$B$10</f>
        <v/>
      </c>
      <c r="J26" s="100">
        <f>J25*$B$10</f>
        <v/>
      </c>
      <c r="K26" s="100">
        <f>K25*$B$10</f>
        <v/>
      </c>
      <c r="L26" s="100">
        <f>L25*$B$10</f>
        <v/>
      </c>
      <c r="M26" s="100">
        <f>M25*$B$10</f>
        <v/>
      </c>
      <c r="N26" s="100">
        <f>N25*$B$10</f>
        <v/>
      </c>
      <c r="O26" s="100">
        <f>O25*$B$10</f>
        <v/>
      </c>
      <c r="P26" s="100">
        <f>P25*$B$10</f>
        <v/>
      </c>
      <c r="Q26" s="100">
        <f>Q25*$B$10</f>
        <v/>
      </c>
      <c r="R26" s="100">
        <f>R25*$B$10</f>
        <v/>
      </c>
      <c r="S26" s="100">
        <f>S25*$B$10</f>
        <v/>
      </c>
      <c r="T26" s="100">
        <f>T25*$B$10</f>
        <v/>
      </c>
      <c r="U26" s="100">
        <f>U25*$B$10</f>
        <v/>
      </c>
      <c r="V26" s="100">
        <f>V25*$B$10</f>
        <v/>
      </c>
      <c r="W26" s="100">
        <f>W25*$B$10</f>
        <v/>
      </c>
      <c r="X26" s="100">
        <f>X25*$B$10</f>
        <v/>
      </c>
      <c r="Y26" s="100">
        <f>Y25*$B$10</f>
        <v/>
      </c>
      <c r="Z26" s="100">
        <f>Z25*$B$10</f>
        <v/>
      </c>
      <c r="AA26" s="100">
        <f>AA25*$B$10</f>
        <v/>
      </c>
      <c r="AB26" s="100">
        <f>AB25*$B$10</f>
        <v/>
      </c>
      <c r="AC26" s="100">
        <f>AC25*$B$10</f>
        <v/>
      </c>
      <c r="AD26" s="100">
        <f>AD25*$B$10</f>
        <v/>
      </c>
      <c r="AE26" s="100">
        <f>AE25*$B$10</f>
        <v/>
      </c>
      <c r="AF26" s="100">
        <f>AF25*$B$10</f>
        <v/>
      </c>
      <c r="AG26" s="100">
        <f>AG25*$B$10</f>
        <v/>
      </c>
      <c r="AH26" s="100">
        <f>AH25*$B$10</f>
        <v/>
      </c>
      <c r="AI26" s="100">
        <f>AI25*$B$10</f>
        <v/>
      </c>
      <c r="AJ26" s="100">
        <f>AJ25*$B$10</f>
        <v/>
      </c>
      <c r="AK26" s="100">
        <f>AK25*$B$10</f>
        <v/>
      </c>
    </row>
    <row r="27">
      <c r="A27" s="92" t="inlineStr">
        <is>
          <t>Total expenses</t>
        </is>
      </c>
      <c r="B27" s="100">
        <f>$B$9+B26</f>
        <v/>
      </c>
      <c r="C27" s="100">
        <f>$B$9+C26</f>
        <v/>
      </c>
      <c r="D27" s="100">
        <f>$B$9+D26</f>
        <v/>
      </c>
      <c r="E27" s="100">
        <f>$B$9+E26</f>
        <v/>
      </c>
      <c r="F27" s="100">
        <f>$B$9+F26</f>
        <v/>
      </c>
      <c r="G27" s="100">
        <f>$B$9+G26</f>
        <v/>
      </c>
      <c r="H27" s="100">
        <f>$B$9+H26</f>
        <v/>
      </c>
      <c r="I27" s="100">
        <f>$B$9+I26</f>
        <v/>
      </c>
      <c r="J27" s="100">
        <f>$B$9+J26</f>
        <v/>
      </c>
      <c r="K27" s="100">
        <f>$B$9+K26</f>
        <v/>
      </c>
      <c r="L27" s="100">
        <f>$B$9+L26</f>
        <v/>
      </c>
      <c r="M27" s="100">
        <f>$B$9+M26</f>
        <v/>
      </c>
      <c r="N27" s="100">
        <f>$B$9+N26</f>
        <v/>
      </c>
      <c r="O27" s="100">
        <f>$B$9+O26</f>
        <v/>
      </c>
      <c r="P27" s="100">
        <f>$B$9+P26</f>
        <v/>
      </c>
      <c r="Q27" s="100">
        <f>$B$9+Q26</f>
        <v/>
      </c>
      <c r="R27" s="100">
        <f>$B$9+R26</f>
        <v/>
      </c>
      <c r="S27" s="100">
        <f>$B$9+S26</f>
        <v/>
      </c>
      <c r="T27" s="100">
        <f>$B$9+T26</f>
        <v/>
      </c>
      <c r="U27" s="100">
        <f>$B$9+U26</f>
        <v/>
      </c>
      <c r="V27" s="100">
        <f>$B$9+V26</f>
        <v/>
      </c>
      <c r="W27" s="100">
        <f>$B$9+W26</f>
        <v/>
      </c>
      <c r="X27" s="100">
        <f>$B$9+X26</f>
        <v/>
      </c>
      <c r="Y27" s="100">
        <f>$B$9+Y26</f>
        <v/>
      </c>
      <c r="Z27" s="100">
        <f>$B$9+Z26</f>
        <v/>
      </c>
      <c r="AA27" s="100">
        <f>$B$9+AA26</f>
        <v/>
      </c>
      <c r="AB27" s="100">
        <f>$B$9+AB26</f>
        <v/>
      </c>
      <c r="AC27" s="100">
        <f>$B$9+AC26</f>
        <v/>
      </c>
      <c r="AD27" s="100">
        <f>$B$9+AD26</f>
        <v/>
      </c>
      <c r="AE27" s="100">
        <f>$B$9+AE26</f>
        <v/>
      </c>
      <c r="AF27" s="100">
        <f>$B$9+AF26</f>
        <v/>
      </c>
      <c r="AG27" s="100">
        <f>$B$9+AG26</f>
        <v/>
      </c>
      <c r="AH27" s="100">
        <f>$B$9+AH26</f>
        <v/>
      </c>
      <c r="AI27" s="100">
        <f>$B$9+AI26</f>
        <v/>
      </c>
      <c r="AJ27" s="100">
        <f>$B$9+AJ26</f>
        <v/>
      </c>
      <c r="AK27" s="100">
        <f>$B$9+AK26</f>
        <v/>
      </c>
    </row>
    <row r="28">
      <c r="A28" s="90" t="inlineStr">
        <is>
          <t>Profit and (Loss)</t>
        </is>
      </c>
      <c r="B28" s="100">
        <f>B24-B27</f>
        <v/>
      </c>
      <c r="C28" s="100">
        <f>C24-C27</f>
        <v/>
      </c>
      <c r="D28" s="100">
        <f>D24-D27</f>
        <v/>
      </c>
      <c r="E28" s="100">
        <f>E24-E27</f>
        <v/>
      </c>
      <c r="F28" s="100">
        <f>F24-F27</f>
        <v/>
      </c>
      <c r="G28" s="100">
        <f>G24-G27</f>
        <v/>
      </c>
      <c r="H28" s="100">
        <f>H24-H27</f>
        <v/>
      </c>
      <c r="I28" s="100">
        <f>I24-I27</f>
        <v/>
      </c>
      <c r="J28" s="100">
        <f>J24-J27</f>
        <v/>
      </c>
      <c r="K28" s="100">
        <f>K24-K27</f>
        <v/>
      </c>
      <c r="L28" s="100">
        <f>L24-L27</f>
        <v/>
      </c>
      <c r="M28" s="100">
        <f>M24-M27</f>
        <v/>
      </c>
      <c r="N28" s="100">
        <f>N24-N27</f>
        <v/>
      </c>
      <c r="O28" s="100">
        <f>O24-O27</f>
        <v/>
      </c>
      <c r="P28" s="100">
        <f>P24-P27</f>
        <v/>
      </c>
      <c r="Q28" s="100">
        <f>Q24-Q27</f>
        <v/>
      </c>
      <c r="R28" s="100">
        <f>R24-R27</f>
        <v/>
      </c>
      <c r="S28" s="100">
        <f>S24-S27</f>
        <v/>
      </c>
      <c r="T28" s="100">
        <f>T24-T27</f>
        <v/>
      </c>
      <c r="U28" s="100">
        <f>U24-U27</f>
        <v/>
      </c>
      <c r="V28" s="100">
        <f>V24-V27</f>
        <v/>
      </c>
      <c r="W28" s="100">
        <f>W24-W27</f>
        <v/>
      </c>
      <c r="X28" s="100">
        <f>X24-X27</f>
        <v/>
      </c>
      <c r="Y28" s="100">
        <f>Y24-Y27</f>
        <v/>
      </c>
      <c r="Z28" s="100">
        <f>Z24-Z27</f>
        <v/>
      </c>
      <c r="AA28" s="100">
        <f>AA24-AA27</f>
        <v/>
      </c>
      <c r="AB28" s="100">
        <f>AB24-AB27</f>
        <v/>
      </c>
      <c r="AC28" s="100">
        <f>AC24-AC27</f>
        <v/>
      </c>
      <c r="AD28" s="100">
        <f>AD24-AD27</f>
        <v/>
      </c>
      <c r="AE28" s="100">
        <f>AE24-AE27</f>
        <v/>
      </c>
      <c r="AF28" s="100">
        <f>AF24-AF27</f>
        <v/>
      </c>
      <c r="AG28" s="100">
        <f>AG24-AG27</f>
        <v/>
      </c>
      <c r="AH28" s="100">
        <f>AH24-AH27</f>
        <v/>
      </c>
      <c r="AI28" s="100">
        <f>AI24-AI27</f>
        <v/>
      </c>
      <c r="AJ28" s="100">
        <f>AJ24-AJ27</f>
        <v/>
      </c>
      <c r="AK28" s="100">
        <f>AK24-AK27</f>
        <v/>
      </c>
    </row>
    <row r="29">
      <c r="A29" s="90" t="inlineStr">
        <is>
          <t>Cumulative Profit and (Loss)</t>
        </is>
      </c>
      <c r="B29" s="100">
        <f>B28</f>
        <v/>
      </c>
      <c r="C29" s="100">
        <f>B29+C28</f>
        <v/>
      </c>
      <c r="D29" s="100">
        <f>C29+D28</f>
        <v/>
      </c>
      <c r="E29" s="100">
        <f>D29+E28</f>
        <v/>
      </c>
      <c r="F29" s="100">
        <f>E29+F28</f>
        <v/>
      </c>
      <c r="G29" s="100">
        <f>F29+G28</f>
        <v/>
      </c>
      <c r="H29" s="100">
        <f>G29+H28</f>
        <v/>
      </c>
      <c r="I29" s="100">
        <f>H29+I28</f>
        <v/>
      </c>
      <c r="J29" s="100">
        <f>I29+J28</f>
        <v/>
      </c>
      <c r="K29" s="100">
        <f>J29+K28</f>
        <v/>
      </c>
      <c r="L29" s="100">
        <f>K29+L28</f>
        <v/>
      </c>
      <c r="M29" s="100">
        <f>L29+M28</f>
        <v/>
      </c>
      <c r="N29" s="100">
        <f>M29+N28</f>
        <v/>
      </c>
      <c r="O29" s="100">
        <f>N29+O28</f>
        <v/>
      </c>
      <c r="P29" s="100">
        <f>O29+P28</f>
        <v/>
      </c>
      <c r="Q29" s="100">
        <f>P29+Q28</f>
        <v/>
      </c>
      <c r="R29" s="100">
        <f>Q29+R28</f>
        <v/>
      </c>
      <c r="S29" s="100">
        <f>R29+S28</f>
        <v/>
      </c>
      <c r="T29" s="100">
        <f>S29+T28</f>
        <v/>
      </c>
      <c r="U29" s="100">
        <f>T29+U28</f>
        <v/>
      </c>
      <c r="V29" s="100">
        <f>U29+V28</f>
        <v/>
      </c>
      <c r="W29" s="100">
        <f>V29+W28</f>
        <v/>
      </c>
      <c r="X29" s="100">
        <f>W29+X28</f>
        <v/>
      </c>
      <c r="Y29" s="100">
        <f>X29+Y28</f>
        <v/>
      </c>
      <c r="Z29" s="100">
        <f>Y29+Z28</f>
        <v/>
      </c>
      <c r="AA29" s="100">
        <f>Z29+AA28</f>
        <v/>
      </c>
      <c r="AB29" s="100">
        <f>AA29+AB28</f>
        <v/>
      </c>
      <c r="AC29" s="100">
        <f>AB29+AC28</f>
        <v/>
      </c>
      <c r="AD29" s="100">
        <f>AC29+AD28</f>
        <v/>
      </c>
      <c r="AE29" s="100">
        <f>AD29+AE28</f>
        <v/>
      </c>
      <c r="AF29" s="100">
        <f>AE29+AF28</f>
        <v/>
      </c>
      <c r="AG29" s="100">
        <f>AF29+AG28</f>
        <v/>
      </c>
      <c r="AH29" s="100">
        <f>AG29+AH28</f>
        <v/>
      </c>
      <c r="AI29" s="100">
        <f>AH29+AI28</f>
        <v/>
      </c>
      <c r="AJ29" s="100">
        <f>AI29+AJ28</f>
        <v/>
      </c>
      <c r="AK29" s="100">
        <f>AJ29+AK28</f>
        <v/>
      </c>
    </row>
    <row r="30">
      <c r="A30" s="96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  <c r="AA30" s="91" t="n"/>
      <c r="AB30" s="91" t="n"/>
      <c r="AC30" s="91" t="n"/>
      <c r="AD30" s="91" t="n"/>
      <c r="AE30" s="91" t="n"/>
      <c r="AF30" s="91" t="n"/>
      <c r="AG30" s="91" t="n"/>
      <c r="AH30" s="91" t="n"/>
      <c r="AI30" s="91" t="n"/>
      <c r="AJ30" s="91" t="n"/>
      <c r="AK30" s="91" t="n"/>
    </row>
    <row r="31">
      <c r="A31" s="96" t="inlineStr">
        <is>
          <t>Yellow = inputs (edit). Green = formulas (don't overwrite).</t>
        </is>
      </c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  <c r="AA31" s="91" t="n"/>
      <c r="AB31" s="91" t="n"/>
      <c r="AC31" s="91" t="n"/>
      <c r="AD31" s="91" t="n"/>
      <c r="AE31" s="91" t="n"/>
      <c r="AF31" s="91" t="n"/>
      <c r="AG31" s="91" t="n"/>
      <c r="AH31" s="91" t="n"/>
      <c r="AI31" s="91" t="n"/>
      <c r="AJ31" s="91" t="n"/>
      <c r="AK31" s="91" t="n"/>
    </row>
  </sheetData>
  <mergeCells count="3">
    <mergeCell ref="Z12:AK12"/>
    <mergeCell ref="B12:M12"/>
    <mergeCell ref="N12:Y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84" activeCellId="0" sqref="A84"/>
    </sheetView>
  </sheetViews>
  <sheetFormatPr baseColWidth="8" defaultColWidth="8.87890625" defaultRowHeight="15" zeroHeight="0" outlineLevelRow="0"/>
  <cols>
    <col width="41.31" customWidth="1" style="45" min="1" max="1"/>
    <col width="92.95" customWidth="1" style="45" min="2" max="2"/>
  </cols>
  <sheetData>
    <row r="1" ht="19.5" customHeight="1" s="46">
      <c r="A1" s="60" t="inlineStr">
        <is>
          <t>Graham Cochrane — Business Model Notes</t>
        </is>
      </c>
    </row>
    <row r="3" ht="15.75" customHeight="1" s="46">
      <c r="A3" s="61" t="inlineStr">
        <is>
          <t>Book 1 — How to Get Paid for What You Know (211 pp)</t>
        </is>
      </c>
    </row>
    <row r="4" ht="30.75" customHeight="1" s="46">
      <c r="A4" s="62" t="inlineStr">
        <is>
          <t>Core thesis</t>
        </is>
      </c>
      <c r="B4" s="63" t="inlineStr">
        <is>
          <t>Build a Value Circle: Give (free content) -&gt; Sell (course) -&gt; Overdeliver (bonuses) -&gt; Receive (money + referrals). Income is determined by how many people you serve and how well you serve them.</t>
        </is>
      </c>
    </row>
    <row r="5" ht="30.75" customHeight="1" s="46">
      <c r="A5" s="62" t="inlineStr">
        <is>
          <t>Cochrane's own ramp</t>
        </is>
      </c>
      <c r="B5" s="63" t="inlineStr">
        <is>
          <t>Food stamps -&gt; $1k/mo by month 12 -&gt; $60k/yr by month 24 -&gt; $10k/mo by month 25 -&gt; $1M+/yr by year 3+.</t>
        </is>
      </c>
    </row>
    <row r="7" ht="15.75" customHeight="1" s="46">
      <c r="A7" s="61" t="inlineStr">
        <is>
          <t>Book 2 — Rebel (138 pp)</t>
        </is>
      </c>
    </row>
    <row r="8" ht="45.75" customHeight="1" s="46">
      <c r="A8" s="62" t="inlineStr">
        <is>
          <t>Core thesis</t>
        </is>
      </c>
      <c r="B8" s="63" t="inlineStr">
        <is>
          <t>Personal-development lens: live authentically, pursue work aligned with your talents and values. Online business enables lifestyle freedom. Cochrane works &lt;20 hrs/week earning multiple seven figures. Action and discipline &gt; perfect conditions.</t>
        </is>
      </c>
    </row>
    <row r="10" ht="15.75" customHeight="1" s="46">
      <c r="A10" s="61" t="inlineStr">
        <is>
          <t>Pricing &amp; Conversion Benchmarks</t>
        </is>
      </c>
    </row>
    <row r="11" ht="30.75" customHeight="1" s="46">
      <c r="A11" s="62" t="inlineStr">
        <is>
          <t>Course pricing — tiered (Cochrane's range)</t>
        </is>
      </c>
      <c r="B11" s="63" t="inlineStr">
        <is>
          <t>Low $97-$197, mid $297-$397, high $597-$997. Tiered offers lift AOV ~50%; ~50% of buyers pick the middle tier. (Rethink Mixing example: $99/$149/$349.)</t>
        </is>
      </c>
    </row>
    <row r="12" ht="15.75" customHeight="1" s="46">
      <c r="A12" s="62" t="inlineStr">
        <is>
          <t>Launch conversion</t>
        </is>
      </c>
      <c r="B12" s="63" t="inlineStr">
        <is>
          <t>0.5%-1% of email list buys per launch. Example: 5K list * $297 * 0.7% = ~$10k launch.</t>
        </is>
      </c>
    </row>
    <row r="13" ht="15.75" customHeight="1" s="46">
      <c r="A13" s="62" t="inlineStr">
        <is>
          <t>Evergreen conversion</t>
        </is>
      </c>
      <c r="B13" s="63" t="inlineStr">
        <is>
          <t>~0.1%/month between launches.</t>
        </is>
      </c>
    </row>
    <row r="14" ht="15.75" customHeight="1" s="46">
      <c r="A14" s="62" t="inlineStr">
        <is>
          <t>Email engagement</t>
        </is>
      </c>
      <c r="B14" s="63" t="inlineStr">
        <is>
          <t>Open rate 40-50% (small lists), 15-30% (mature). Click rate 0.5%-7%.</t>
        </is>
      </c>
    </row>
    <row r="15" ht="15.75" customHeight="1" s="46">
      <c r="A15" s="62" t="inlineStr">
        <is>
          <t>Launch cadence</t>
        </is>
      </c>
      <c r="B15" s="63" t="inlineStr">
        <is>
          <t>3/year typical (Feb / May / Sep). Skip Q4 holidays.</t>
        </is>
      </c>
    </row>
    <row r="16" ht="15.75" customHeight="1" s="46">
      <c r="A16" s="62" t="inlineStr">
        <is>
          <t>Cohort / mastermind pricing</t>
        </is>
      </c>
      <c r="B16" s="63" t="inlineStr">
        <is>
          <t>$1k-$3k per seat, 8-12 seats, 2-3 runs/year.</t>
        </is>
      </c>
    </row>
    <row r="17" ht="15.75" customHeight="1" s="46">
      <c r="A17" s="62" t="inlineStr">
        <is>
          <t>Consulting / coaching</t>
        </is>
      </c>
      <c r="B17" s="63" t="inlineStr">
        <is>
          <t>1-on-1 retainers $500-$2k/mo. Hourly $150-$500.</t>
        </is>
      </c>
    </row>
    <row r="19" ht="15.75" customHeight="1" s="46">
      <c r="A19" s="61" t="inlineStr">
        <is>
          <t>Revenue Streams (mapped to this model)</t>
        </is>
      </c>
    </row>
    <row r="20" ht="30.75" customHeight="1" s="46">
      <c r="A20" s="62" t="inlineStr">
        <is>
          <t>Self-paced course (flagship)</t>
        </is>
      </c>
      <c r="B20" s="63" t="inlineStr">
        <is>
          <t>Tiered $199 / $599 / $1999 (this model). Cochrane recommends starting $97-$197 base with mid/high tiers above.</t>
        </is>
      </c>
    </row>
    <row r="21" ht="15.75" customHeight="1" s="46">
      <c r="A21" s="62" t="inlineStr">
        <is>
          <t>Promo week (5 daily group sessions)</t>
        </is>
      </c>
      <c r="B21" s="63" t="inlineStr">
        <is>
          <t>$199 standard / $599 VIP. Monthly recurring teaching event for prospects.</t>
        </is>
      </c>
    </row>
    <row r="22" ht="15.75" customHeight="1" s="46">
      <c r="A22" s="62" t="inlineStr">
        <is>
          <t>Group cohort / mastermind</t>
        </is>
      </c>
      <c r="B22" s="63" t="inlineStr">
        <is>
          <t>$2,000 per seat x 10 seats = $20k per run, 2 runs/year in this model.</t>
        </is>
      </c>
    </row>
    <row r="23" ht="15.75" customHeight="1" s="46">
      <c r="A23" s="62" t="inlineStr">
        <is>
          <t>1-on-1 consulting</t>
        </is>
      </c>
      <c r="B23" s="63" t="inlineStr">
        <is>
          <t>$500/hr — packages of 1 hr/week, or retainer at $3,000/mo (= 6 hrs).</t>
        </is>
      </c>
    </row>
    <row r="24" ht="15.75" customHeight="1" s="46">
      <c r="A24" s="62" t="inlineStr">
        <is>
          <t>Community membership</t>
        </is>
      </c>
      <c r="B24" s="63" t="inlineStr">
        <is>
          <t>$99/month (cheapest item). Open after first course launch.</t>
        </is>
      </c>
    </row>
    <row r="25" ht="30.75" customHeight="1" s="46">
      <c r="A25" s="62" t="inlineStr">
        <is>
          <t>B2B SaaS (RE doc-signing / wire-fraud prevention)</t>
        </is>
      </c>
      <c r="B25" s="63" t="inlineStr">
        <is>
          <t>Annual fee modeled at $5,000/customer/year. Rule of thumb: charge ~1/10 of the customer's annual potential loss. Edit B22 to tune.</t>
        </is>
      </c>
    </row>
    <row r="27" ht="15.75" customHeight="1" s="46">
      <c r="A27" s="61" t="inlineStr">
        <is>
          <t>Overhead Recommendations</t>
        </is>
      </c>
    </row>
    <row r="28" ht="30.75" customHeight="1" s="46">
      <c r="A28" s="62" t="inlineStr">
        <is>
          <t>Platform stack (his)</t>
        </is>
      </c>
      <c r="B28" s="63" t="inlineStr">
        <is>
          <t>Kajabi all-in-one $119-$300/mo. Substitute: self-hosted Listmonk + own video, ~$50/mo VPS overhead (Ami's setup).</t>
        </is>
      </c>
    </row>
    <row r="29" ht="15.75" customHeight="1" s="46">
      <c r="A29" s="62" t="inlineStr">
        <is>
          <t>Video equipment</t>
        </is>
      </c>
      <c r="B29" s="63" t="inlineStr">
        <is>
          <t>Smartphone + lavalier mic + free editor. &lt;$200 one-time.</t>
        </is>
      </c>
    </row>
    <row r="30" ht="15.75" customHeight="1" s="46">
      <c r="A30" s="62" t="inlineStr">
        <is>
          <t>VA / part-time help</t>
        </is>
      </c>
      <c r="B30" s="63" t="inlineStr">
        <is>
          <t>Not required for launch. $500-$2k/mo when you scale.</t>
        </is>
      </c>
    </row>
    <row r="31" ht="30.75" customHeight="1" s="46">
      <c r="A31" s="62" t="inlineStr">
        <is>
          <t>Paid ads</t>
        </is>
      </c>
      <c r="B31" s="63" t="inlineStr">
        <is>
          <t>Cochrane does NOT recommend until free traffic is exhausted, products are selling, and the funnel is proven.</t>
        </is>
      </c>
    </row>
    <row r="33" ht="15.75" customHeight="1" s="46">
      <c r="A33" s="61" t="inlineStr">
        <is>
          <t>Recommended Ramp Timeline</t>
        </is>
      </c>
    </row>
    <row r="34" ht="30.75" customHeight="1" s="46">
      <c r="A34" s="62" t="inlineStr">
        <is>
          <t>Months 0-6</t>
        </is>
      </c>
      <c r="B34" s="63" t="inlineStr">
        <is>
          <t>Build audience: weekly content, validate idea via customer research. No course yet. Founder draw $4k/mo (this model).</t>
        </is>
      </c>
    </row>
    <row r="35" ht="30.75" customHeight="1" s="46">
      <c r="A35" s="62" t="inlineStr">
        <is>
          <t>Months 6-12</t>
        </is>
      </c>
      <c r="B35" s="63" t="inlineStr">
        <is>
          <t>Launch first course. Cochrane: 0.5-1% list conversion. This model uses 1.5% (more aggressive). Expect $5k-$15k first launch.</t>
        </is>
      </c>
    </row>
    <row r="36" ht="15.75" customHeight="1" s="46">
      <c r="A36" s="62" t="inlineStr">
        <is>
          <t>Months 12-18</t>
        </is>
      </c>
      <c r="B36" s="63" t="inlineStr">
        <is>
          <t>Promo week starts. List 1k-2k. Founder draw stays at $4k/mo through M12.</t>
        </is>
      </c>
    </row>
    <row r="37" ht="15.75" customHeight="1" s="46">
      <c r="A37" s="62" t="inlineStr">
        <is>
          <t>Months 18-24</t>
        </is>
      </c>
      <c r="B37" s="63" t="inlineStr">
        <is>
          <t>First cohort run. List 2k-3k. Founder draw bumps to $6k/mo for Year 2.</t>
        </is>
      </c>
    </row>
    <row r="38" ht="30.75" customHeight="1" s="46">
      <c r="A38" s="62" t="inlineStr">
        <is>
          <t>Year 3 (M25-M36)</t>
        </is>
      </c>
      <c r="B38" s="63" t="inlineStr">
        <is>
          <t>Full revenue mix: course launches + promo + cohorts + consulting + membership + SaaS. Founder draw bumps to $10k/mo.</t>
        </is>
      </c>
    </row>
    <row r="40" ht="15.75" customHeight="1" s="46">
      <c r="A40" s="61" t="inlineStr">
        <is>
          <t>Key Takeaways</t>
        </is>
      </c>
    </row>
    <row r="41" ht="15.75" customHeight="1" s="46">
      <c r="A41" s="62" t="inlineStr">
        <is>
          <t>Email list = #1 asset</t>
        </is>
      </c>
      <c r="B41" s="63" t="inlineStr">
        <is>
          <t>Ignore vanity follower counts. Build email list of blockchain devs/students.</t>
        </is>
      </c>
    </row>
    <row r="42" ht="15.75" customHeight="1" s="46">
      <c r="A42" s="62" t="inlineStr">
        <is>
          <t>Content is evergreen currency</t>
        </is>
      </c>
      <c r="B42" s="63" t="inlineStr">
        <is>
          <t>YouTube + blog weekly for 12+ months drives free traffic indefinitely.</t>
        </is>
      </c>
    </row>
    <row r="43" ht="30.75" customHeight="1" s="46">
      <c r="A43" s="62" t="inlineStr">
        <is>
          <t>Tiered pricing</t>
        </is>
      </c>
      <c r="B43" s="63" t="inlineStr">
        <is>
          <t>$199 / $599 / $1999 (this model). Roughly 3x and 3.3x between tiers; blended AOV well above any single price.</t>
        </is>
      </c>
    </row>
    <row r="44" ht="15.75" customHeight="1" s="46">
      <c r="A44" s="62" t="inlineStr">
        <is>
          <t>Pricing floor</t>
        </is>
      </c>
      <c r="B44" s="63" t="inlineStr">
        <is>
          <t>Nothing one-time below $199. Membership at $99/mo is the only sub-$199 item (recurring).</t>
        </is>
      </c>
    </row>
    <row r="45" ht="15.75" customHeight="1" s="46">
      <c r="A45" s="62" t="inlineStr">
        <is>
          <t>Consulting unlock</t>
        </is>
      </c>
      <c r="B45" s="63" t="inlineStr">
        <is>
          <t>$500/hr * 60 hrs cap = $30k/mo ceiling — significant lever.</t>
        </is>
      </c>
    </row>
    <row r="47" ht="35.25" customHeight="1" s="46">
      <c r="A47" s="64" t="inlineStr">
        <is>
          <t>Book 3 — The Effortless Business (54 pp, 2026)</t>
        </is>
      </c>
    </row>
    <row r="48" ht="45.75" customHeight="1" s="46">
      <c r="A48" s="65" t="inlineStr">
        <is>
          <t>Core thesis</t>
        </is>
      </c>
      <c r="B48" s="66" t="inlineStr">
        <is>
          <t>Build a high-income, low-maintenance business via the Effortless Income Engine: Client Magnet (one weekly long-form piece) + Magic Offer (one high-ticket offer) + Effortless Enrollment (paid virtual events). Three marks of success: Money, Margin, Meaning. Built around your Uniqueness in the middle.</t>
        </is>
      </c>
    </row>
    <row r="49" ht="45.75" customHeight="1" s="46">
      <c r="A49" s="65" t="inlineStr">
        <is>
          <t>Cochrane's current state</t>
        </is>
      </c>
      <c r="B49" s="66" t="inlineStr">
        <is>
          <t>Works ~5 hrs/week, generates $3M-$5M/yr. Mondays = thinking, Tuesdays = record podcast, Wednesdays = inner-circle coaching, Thursdays = light, Fridays off (date day). Editing/clipping/upload all delegated.</t>
        </is>
      </c>
    </row>
    <row r="51" ht="18" customHeight="1" s="46">
      <c r="A51" s="64" t="inlineStr">
        <is>
          <t>Effortless Income Engine — 3 Systems</t>
        </is>
      </c>
    </row>
    <row r="52" ht="45.75" customHeight="1" s="46">
      <c r="A52" s="65" t="inlineStr">
        <is>
          <t>System 1 — Client Magnet</t>
        </is>
      </c>
      <c r="B52" s="66" t="inlineStr">
        <is>
          <t>ONE long-form piece per week (30-45 min YouTube/podcast). Searchable + evergreen + immersive. Speak to ONE person ("Chad" persona). Hub-and-spoke: chop into Reels/Shorts. Do NOT post daily. Quality over quantity. Aiko example: 500 subs, $30k/mo.</t>
        </is>
      </c>
    </row>
    <row r="53" ht="30.75" customHeight="1" s="46">
      <c r="A53" s="65" t="inlineStr">
        <is>
          <t>System 2 — Magic Offer</t>
        </is>
      </c>
      <c r="B53" s="66" t="inlineStr">
        <is>
          <t>ONE high-ticket offer ($5k-$100k+). MAGIC acronym = Measurable outcome, Actionable steps, Generous payoff (10x value), Infinitely scalable, Clear name. Avoid bloat: bloated offer signals insecurity.</t>
        </is>
      </c>
    </row>
    <row r="54" ht="45.75" customHeight="1" s="46">
      <c r="A54" s="65" t="inlineStr">
        <is>
          <t>System 3 — Effortless Enrollment</t>
        </is>
      </c>
      <c r="B54" s="66" t="inlineStr">
        <is>
          <t>Sell via paid virtual events (3-4 hr master class OR 3-5 day paid challenge), NOT free webinars or 1-on-1 sales calls. GA ticket $47-$97, VIP $147-$297. Logic: paid customers &gt; free leads (IKEA effect, commitment, social proof, reciprocity, scarcity).</t>
        </is>
      </c>
    </row>
    <row r="55" ht="30.75" customHeight="1" s="46">
      <c r="A55" s="65" t="inlineStr">
        <is>
          <t>Magic Offer Matrix</t>
        </is>
      </c>
      <c r="B55" s="67" t="inlineStr">
        <is>
          <t>4 quadrants (price x ease-of-conversion): Pointless (low/hard), Needy (low/easy = exhausting volume + complainers), Exhausting (high/hard = sales-call hell), MAGIC (high/easy). Build only Magic offers.</t>
        </is>
      </c>
    </row>
    <row r="57" ht="18" customHeight="1" s="46">
      <c r="A57" s="64" t="inlineStr">
        <is>
          <t>Pricing Math</t>
        </is>
      </c>
    </row>
    <row r="58" ht="45.75" customHeight="1" s="46">
      <c r="A58" s="65" t="inlineStr">
        <is>
          <t>64/4 rule</t>
        </is>
      </c>
      <c r="B58" s="67" t="inlineStr">
        <is>
          <t>80/20 applied twice: top 4% of customers spend 16x the average. Build product line for the 80%, the 16%, AND the 4%. Espresso machine principle: Starbucks puts a $170 espresso machine on the counter for the 4% who will buy it.</t>
        </is>
      </c>
    </row>
    <row r="59" ht="30.75" customHeight="1" s="46">
      <c r="A59" s="65" t="inlineStr">
        <is>
          <t>Million-dollar math</t>
        </is>
      </c>
      <c r="B59" s="67" t="inlineStr">
        <is>
          <t>$100 offer = 10,000 sales/yr (27/day). $1k = 1,000 sales/yr (3/day). $10k = 100 sales/yr (8/mo). $100k = 10 sales/yr (1/mo). Pick path of least resistance — most struggling founders chose the wrong column.</t>
        </is>
      </c>
    </row>
    <row r="60" ht="45.75" customHeight="1" s="46">
      <c r="A60" s="65" t="inlineStr">
        <is>
          <t>Pricing rule</t>
        </is>
      </c>
      <c r="B60" s="67" t="inlineStr">
        <is>
          <t>Charge ~1/10 of the value you create OR cost of the alternative OR cost of NOT solving. Frank example: divorce costs $100k+; marriage coaching = $10k, not $3k. Cochrane's $250k VIP day = clients earn $2.5M+/yr from it.</t>
        </is>
      </c>
    </row>
    <row r="61" ht="45.75" customHeight="1" s="46">
      <c r="A61" s="65" t="inlineStr">
        <is>
          <t>6 Ps of premium pricing</t>
        </is>
      </c>
      <c r="B61" s="67" t="inlineStr">
        <is>
          <t>Profit, Protection, Peace, Pipeline, Positioning, Participation. Higher price -&gt; fewer/more-committed clients -&gt; better results -&gt; better testimonials -&gt; easier sales. Price-quality inference: higher price = higher perceived quality.</t>
        </is>
      </c>
    </row>
    <row r="62" ht="15" customHeight="1" s="46">
      <c r="B62" s="68" t="n"/>
    </row>
    <row r="63" ht="18" customHeight="1" s="46">
      <c r="A63" s="64" t="inlineStr">
        <is>
          <t>Offer Construction (4 Ps)</t>
        </is>
      </c>
      <c r="B63" s="68" t="n"/>
    </row>
    <row r="64" ht="30.75" customHeight="1" s="46">
      <c r="A64" s="65" t="inlineStr">
        <is>
          <t>Pieces / Process / Person / Payoff</t>
        </is>
      </c>
      <c r="B64" s="67" t="inlineStr">
        <is>
          <t>Most founders spend 80% of pitch on pieces (modules), process (your method), or person (your bio). Spend 80-95% on PAYOFF (the outcome). People do not buy stuff; they buy certainty of outcome.</t>
        </is>
      </c>
    </row>
    <row r="65" ht="45.75" customHeight="1" s="46">
      <c r="A65" s="65" t="inlineStr">
        <is>
          <t>5-step Magic Offer build</t>
        </is>
      </c>
      <c r="B65" s="67" t="inlineStr">
        <is>
          <t>1. Name = the outcome ("World-Class Mixes"; use Rory Vaden's "I want ___" test). 2. Price = 1/10 of value. 3. Define hell -&gt; heaven. 4. Map 3-4 high-level steps. 5. Choose fulfillment (cohort / VIP day / course / 90-day intensive — your choice, your lifestyle).</t>
        </is>
      </c>
    </row>
    <row r="66" ht="15" customHeight="1" s="46">
      <c r="B66" s="68" t="n"/>
    </row>
    <row r="67" ht="35.25" customHeight="1" s="46">
      <c r="A67" s="69" t="inlineStr">
        <is>
          <t>20-Hour CEO — Dream Week (4 Pillars)</t>
        </is>
      </c>
      <c r="B67" s="68" t="n"/>
    </row>
    <row r="68" ht="30.75" customHeight="1" s="46">
      <c r="A68" s="70" t="inlineStr">
        <is>
          <t>Recharge</t>
        </is>
      </c>
      <c r="B68" s="67" t="inlineStr">
        <is>
          <t>Block weekly time to refuel: gym, walk, prayer, coffee shop. START the week with these, NOT work tasks. Time isn't your most limited resource — energy is.</t>
        </is>
      </c>
    </row>
    <row r="69" ht="30.75" customHeight="1" s="46">
      <c r="A69" s="70" t="inlineStr">
        <is>
          <t>Relationship</t>
        </is>
      </c>
      <c r="B69" s="67" t="inlineStr">
        <is>
          <t>Block weekly time with spouse, kids, mentors. Cochrane: Fridays = wife date day, mornings with daughters, home by 3-4pm.</t>
        </is>
      </c>
    </row>
    <row r="70" ht="30.75" customHeight="1" s="46">
      <c r="A70" s="70" t="inlineStr">
        <is>
          <t>Rainmaker</t>
        </is>
      </c>
      <c r="B70" s="67" t="inlineStr">
        <is>
          <t>3-5 activities that drive most revenue. Cochrane: weekly podcast + coaching inner-circle + monthly $10k-offer challenge. Everything else gets E-A-D.</t>
        </is>
      </c>
    </row>
    <row r="71" ht="30.75" customHeight="1" s="46">
      <c r="A71" s="70" t="inlineStr">
        <is>
          <t>Reflection</t>
        </is>
      </c>
      <c r="B71" s="67" t="inlineStr">
        <is>
          <t>Mondays = thinking day. No coaching/creating/selling. Read, journal, plan. "We don't learn from experiences, we learn from reflecting on them." (Rich Litvin)</t>
        </is>
      </c>
    </row>
    <row r="72" ht="30.75" customHeight="1" s="46">
      <c r="A72" s="70" t="inlineStr">
        <is>
          <t>EAD framework (Tim Ferriss)</t>
        </is>
      </c>
      <c r="B72" s="67" t="inlineStr">
        <is>
          <t>Eliminate (don't do it at all) -&gt; Automate (software/AI) -&gt; Delegate (hire). In that order. Audit every subtask. Star the ones requiring your face/voice/genius — outsource everything else.</t>
        </is>
      </c>
    </row>
    <row r="73" ht="45.75" customHeight="1" s="46">
      <c r="A73" s="70" t="inlineStr">
        <is>
          <t>Parkinson's law</t>
        </is>
      </c>
      <c r="B73" s="67" t="inlineStr">
        <is>
          <t>Give yourself less time. Cochrane: 1 hr/week to record 45-min podcast. Email checked once/day. Themed days: content / coaching / admin. 90-min focused sprints with breaks. No meetings before noon.</t>
        </is>
      </c>
    </row>
    <row r="74" ht="15" customHeight="1" s="46">
      <c r="A74" s="68" t="n"/>
      <c r="B74" s="68" t="n"/>
    </row>
    <row r="75" ht="18" customHeight="1" s="46">
      <c r="A75" s="69" t="inlineStr">
        <is>
          <t>Application — Ami's Two Plays</t>
        </is>
      </c>
      <c r="B75" s="68" t="n"/>
    </row>
    <row r="76" ht="75.75" customHeight="1" s="46">
      <c r="A76" s="70" t="inlineStr">
        <is>
          <t>Play A — Antelope/EOSIO Dev Course</t>
        </is>
      </c>
      <c r="B76" s="67" t="inlineStr">
        <is>
          <t>Client Magnet: weekly 30-45 min YouTube on Antelope smart-contract dev. Persona = ONE person (e.g. "junior Solidity dev curious about WAX/Telos/Vaulta"). Magic Offer: $5k-$10k cohort "Ship Your First Antelope Smart Contract in 60 Days" (NOT a $199 self-paced course as primary — that is the "Needy" quadrant). Enrollment: paid 5-day challenge ($97) -&gt; cohort pitch on day 5. Tier the projection downward: drop the $199 tier, keep $599 only as on-ramp, push $1999+ as flagship.</t>
        </is>
      </c>
    </row>
    <row r="77" ht="75.75" customHeight="1" s="46">
      <c r="A77" s="70" t="inlineStr">
        <is>
          <t>Play B — RE Wire-Fraud / Doc-Trail SaaS</t>
        </is>
      </c>
      <c r="B77" s="67" t="inlineStr">
        <is>
          <t>Pure Cochrane model is for experts/coaches; SaaS is structurally different. BUT apply 1/10 rule: avg US wire-fraud loss ~$200k+ per incident -&gt; charge $20k-$30k/yr/firm, not $5k. Client Magnet: weekly long-form for title-company / RE-broker compliance officers ("Title Insider"-style podcast). Magic Offer: $25k/yr enterprise + $10k-$25k onboarding per firm. Enrollment: paid half-day compliance workshop ($297) -&gt; SaaS pitch. Treat SaaS like a coaching offer with software, not a self-serve PLG product.</t>
        </is>
      </c>
    </row>
    <row r="78" ht="60.75" customHeight="1" s="46">
      <c r="A78" s="70" t="inlineStr">
        <is>
          <t>Compatibility warning</t>
        </is>
      </c>
      <c r="B78" s="67" t="inlineStr">
        <is>
          <t>Run BOTH plays simultaneously = complexity trap (Cochrane killed 23 courses + 2 memberships down to 1 magic offer). Recommendation: sequence them. Antelope course first (your existing skill, faster to ship, lower stakes). RE SaaS second (longer enterprise sales cycle, regulated buyers). Different audiences = different magnets = different brands.</t>
        </is>
      </c>
    </row>
    <row r="79" ht="15" customHeight="1" s="46">
      <c r="A79" s="68" t="n"/>
      <c r="B79" s="68" t="n"/>
    </row>
    <row r="80" ht="18" customHeight="1" s="46">
      <c r="A80" s="69" t="inlineStr">
        <is>
          <t>Key Differences from Books 1 &amp; 2</t>
        </is>
      </c>
      <c r="B80" s="68" t="n"/>
    </row>
    <row r="81" ht="30.75" customHeight="1" s="46">
      <c r="A81" s="70" t="inlineStr">
        <is>
          <t>Pricing floor moves UP</t>
        </is>
      </c>
      <c r="B81" s="67" t="inlineStr">
        <is>
          <t>Books 1-2: $97-$997 tiers. Book 3: minimum $5k, target $10k-$100k. Driver: 64/4 rule + the math that 100 sales/yr is dramatically easier than 10,000 sales/yr.</t>
        </is>
      </c>
    </row>
    <row r="82" ht="30.75" customHeight="1" s="46">
      <c r="A82" s="70" t="inlineStr">
        <is>
          <t>No 1-on-1 sales calls</t>
        </is>
      </c>
      <c r="B82" s="67" t="inlineStr">
        <is>
          <t>Books 1-2 did not emphasize this. Book 3: replace discovery calls with paid virtual events. Reasoning: calls are 1:1 (low leverage) + create pressure for both parties + you can only sell once per call.</t>
        </is>
      </c>
    </row>
    <row r="83" ht="30.75" customHeight="1" s="46">
      <c r="A83" s="65" t="inlineStr">
        <is>
          <t>Energy &gt; Time</t>
        </is>
      </c>
      <c r="B83" s="67" t="inlineStr">
        <is>
          <t>"Time is not your most limited resource — energy is." Energy audit (drainers vs. givers) + Dream Week wheel replaces conventional time-blocking productivity advice.</t>
        </is>
      </c>
    </row>
    <row r="84" ht="30.75" customHeight="1" s="46">
      <c r="A84" s="65" t="inlineStr">
        <is>
          <t>Faith chapter</t>
        </is>
      </c>
      <c r="B84" s="67" t="inlineStr">
        <is>
          <t>Final chapter is explicitly Christian (Moses/Exodus narrative, prayer practice, Matthew 11:28-30). Filter as needed; the business framework stands without it.</t>
        </is>
      </c>
    </row>
    <row r="85" ht="15" customHeight="1" s="46">
      <c r="B85" s="6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2" activeCellId="0" sqref="H12"/>
    </sheetView>
  </sheetViews>
  <sheetFormatPr baseColWidth="8" defaultColWidth="8.87890625" defaultRowHeight="15" zeroHeight="0" outlineLevelRow="0"/>
  <cols>
    <col width="39.25" customWidth="1" style="45" min="1" max="1"/>
    <col width="16.52" customWidth="1" style="45" min="2" max="2"/>
    <col width="61.97" customWidth="1" style="45" min="3" max="3"/>
  </cols>
  <sheetData>
    <row r="1" ht="19.5" customHeight="1" s="46">
      <c r="A1" s="60" t="inlineStr">
        <is>
          <t>US RE-company TAM  (Total Addressable Market) (sizing the SaaS opportunity)</t>
        </is>
      </c>
    </row>
    <row r="3" ht="15.75" customHeight="1" s="46">
      <c r="A3" s="71" t="inlineStr">
        <is>
          <t>Segment</t>
        </is>
      </c>
      <c r="B3" s="71" t="inlineStr">
        <is>
          <t>US count (≈)</t>
        </is>
      </c>
      <c r="C3" s="71" t="inlineStr">
        <is>
          <t>Wire-fraud / e-signature fit</t>
        </is>
      </c>
    </row>
    <row r="4" ht="15.75" customHeight="1" s="46">
      <c r="A4" s="63" t="inlineStr">
        <is>
          <t>Title insurance / settlement services</t>
        </is>
      </c>
      <c r="B4" s="72" t="n">
        <v>6500</v>
      </c>
      <c r="C4" s="63" t="inlineStr">
        <is>
          <t>Highest — handle closing wire transfers</t>
        </is>
      </c>
    </row>
    <row r="5" ht="15.75" customHeight="1" s="46">
      <c r="A5" s="63" t="inlineStr">
        <is>
          <t>Real estate attorneys (closings)</t>
        </is>
      </c>
      <c r="B5" s="72" t="n">
        <v>30000</v>
      </c>
      <c r="C5" s="63" t="inlineStr">
        <is>
          <t>High — escrow + signed disclosures</t>
        </is>
      </c>
    </row>
    <row r="6" ht="15.75" customHeight="1" s="46">
      <c r="A6" s="63" t="inlineStr">
        <is>
          <t>Mortgage lenders / brokers</t>
        </is>
      </c>
      <c r="B6" s="72" t="n">
        <v>12500</v>
      </c>
      <c r="C6" s="63" t="inlineStr">
        <is>
          <t>High — closing docs + wire instructions</t>
        </is>
      </c>
    </row>
    <row r="7" ht="15.75" customHeight="1" s="46">
      <c r="A7" s="63" t="inlineStr">
        <is>
          <t>Real estate brokerages</t>
        </is>
      </c>
      <c r="B7" s="72" t="n">
        <v>100000</v>
      </c>
      <c r="C7" s="63" t="inlineStr">
        <is>
          <t>Medium — disclosures, listing agreements</t>
        </is>
      </c>
    </row>
    <row r="8" ht="15.75" customHeight="1" s="46">
      <c r="A8" s="63" t="inlineStr">
        <is>
          <t>Property management companies</t>
        </is>
      </c>
      <c r="B8" s="72" t="n">
        <v>25000</v>
      </c>
      <c r="C8" s="63" t="inlineStr">
        <is>
          <t>Medium — leases, security deposits</t>
        </is>
      </c>
    </row>
    <row r="9" ht="15.75" customHeight="1" s="46">
      <c r="A9" s="63" t="inlineStr">
        <is>
          <t>Real estate developers</t>
        </is>
      </c>
      <c r="B9" s="72" t="n">
        <v>10000</v>
      </c>
      <c r="C9" s="63" t="inlineStr">
        <is>
          <t>Medium — purchase agreements</t>
        </is>
      </c>
    </row>
    <row r="11" ht="15.75" customHeight="1" s="46">
      <c r="A11" s="73" t="inlineStr">
        <is>
          <t>Prime TAM (title + attorneys + lenders)</t>
        </is>
      </c>
      <c r="B11" s="74">
        <f>B4+B5+B6</f>
        <v/>
      </c>
      <c r="C11" s="63" t="inlineStr">
        <is>
          <t>Orgs that actually move closing funds</t>
        </is>
      </c>
    </row>
    <row r="12" ht="15.75" customHeight="1" s="46">
      <c r="A12" s="73" t="inlineStr">
        <is>
          <t>Wider TAM (any RE doc-signing audit need)</t>
        </is>
      </c>
      <c r="B12" s="74">
        <f>SUM(B4:B9)</f>
        <v/>
      </c>
      <c r="C12" s="63" t="inlineStr">
        <is>
          <t>All segments above combined</t>
        </is>
      </c>
    </row>
    <row r="15" ht="18" customHeight="1" s="46">
      <c r="A15" s="75" t="inlineStr">
        <is>
          <t>Penetration check</t>
        </is>
      </c>
    </row>
    <row r="16" ht="15.75" customHeight="1" s="46">
      <c r="A16" s="73" t="inlineStr">
        <is>
          <t>Active SaaS customers (M36)</t>
        </is>
      </c>
      <c r="B16" s="72">
        <f>'Ami — Projection'!AK46</f>
        <v/>
      </c>
      <c r="C16" s="63" t="inlineStr">
        <is>
          <t>From Projection sheet — final-month active SaaS count</t>
        </is>
      </c>
    </row>
    <row r="17" ht="15.75" customHeight="1" s="46">
      <c r="A17" s="73" t="inlineStr">
        <is>
          <t>% of prime TAM</t>
        </is>
      </c>
      <c r="B17" s="76">
        <f>B16/B11</f>
        <v/>
      </c>
      <c r="C17" s="63" t="inlineStr">
        <is>
          <t>Conservative — 1% of prime TAM = ~465 customers</t>
        </is>
      </c>
    </row>
    <row r="18" ht="15" customHeight="1" s="46">
      <c r="A18" s="73" t="inlineStr">
        <is>
          <t>% of wider TAM</t>
        </is>
      </c>
      <c r="B18" s="76">
        <f>B16/B12</f>
        <v/>
      </c>
      <c r="C18" s="63" t="n"/>
    </row>
    <row r="20" ht="18" customHeight="1" s="46">
      <c r="A20" s="75" t="inlineStr">
        <is>
          <t>Risk anchor for pricing</t>
        </is>
      </c>
    </row>
    <row r="21" ht="30.75" customHeight="1" s="46">
      <c r="A21" s="62" t="inlineStr">
        <is>
          <t>FBI IC3 — RE-related wire fraud losses</t>
        </is>
      </c>
      <c r="B21" s="77" t="inlineStr">
        <is>
          <t>$400M+ / year</t>
        </is>
      </c>
      <c r="C21" s="63" t="inlineStr">
        <is>
          <t>Annual industry-wide loss reported by the FBI Internet Crime Complaint Center.</t>
        </is>
      </c>
    </row>
    <row r="22" ht="30.75" customHeight="1" s="46">
      <c r="A22" s="62" t="inlineStr">
        <is>
          <t>Average per-incident loss</t>
        </is>
      </c>
      <c r="B22" s="77" t="inlineStr">
        <is>
          <t>$300k – $800k</t>
        </is>
      </c>
      <c r="C22" s="63" t="inlineStr">
        <is>
          <t>Range from FBI / ALTA reporting. A single fraud event can exceed a small firm's annual revenue.</t>
        </is>
      </c>
    </row>
    <row r="23" ht="15.75" customHeight="1" s="46">
      <c r="A23" s="62" t="inlineStr">
        <is>
          <t>Typical small firm closings / month</t>
        </is>
      </c>
      <c r="B23" s="77" t="inlineStr">
        <is>
          <t>5 – 20</t>
        </is>
      </c>
      <c r="C23" s="63" t="inlineStr">
        <is>
          <t>Title + attorney shops; each closing is a wire-fraud risk surface.</t>
        </is>
      </c>
    </row>
    <row r="24" ht="30.75" customHeight="1" s="46">
      <c r="A24" s="62" t="inlineStr">
        <is>
          <t>Annual exposure for an active firm</t>
        </is>
      </c>
      <c r="B24" s="77" t="inlineStr">
        <is>
          <t>high six figures</t>
        </is>
      </c>
      <c r="C24" s="63" t="inlineStr">
        <is>
          <t>Volume × per-incident loss × small probability still nets a six-figure expected-loss number for busy firms.</t>
        </is>
      </c>
    </row>
    <row r="25" ht="30.75" customHeight="1" s="46">
      <c r="A25" s="62" t="inlineStr">
        <is>
          <t>Pricing rule (Ami)</t>
        </is>
      </c>
      <c r="B25" s="77" t="inlineStr">
        <is>
          <t>≈ 1/10 of annual loss exposure</t>
        </is>
      </c>
      <c r="C25" s="63" t="inlineStr">
        <is>
          <t>Phase 2 plan locks $25,000/yr/firm flat (target small/mid title firms). Anchor = 1/10 of avg per-firm wire-fraud exposure. Edit B22 in Projection sheet to tune.</t>
        </is>
      </c>
    </row>
    <row r="27" ht="18" customHeight="1" s="46">
      <c r="A27" s="75" t="inlineStr">
        <is>
          <t>Caveats</t>
        </is>
      </c>
    </row>
    <row r="28" ht="30.75" customHeight="1" s="46">
      <c r="A28" s="63" t="inlineStr">
        <is>
          <t>Counts are rough order-of-magnitude estimates compiled from public sources (NAR, ALTA, IBISWorld categories, FBI IC3 reports). Verify before pitching investors.</t>
        </is>
      </c>
    </row>
  </sheetData>
  <mergeCells count="1">
    <mergeCell ref="A28:C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6" topLeftCell="B17" activePane="bottomRight" state="frozen"/>
      <selection pane="topLeft" activeCell="A1" activeCellId="0" sqref="A1"/>
      <selection pane="topRight" activeCell="B1" activeCellId="0" sqref="B1"/>
      <selection pane="bottomLeft" activeCell="A17" activeCellId="0" sqref="A17"/>
      <selection pane="bottomRight" activeCell="A1" activeCellId="0" sqref="A1"/>
    </sheetView>
  </sheetViews>
  <sheetFormatPr baseColWidth="8" defaultColWidth="8.87890625" defaultRowHeight="15" zeroHeight="0" outlineLevelRow="0"/>
  <cols>
    <col width="43.38" customWidth="1" style="45" min="1" max="1"/>
    <col width="13.43" customWidth="1" style="45" min="2" max="37"/>
  </cols>
  <sheetData>
    <row r="1" ht="15" customHeight="1" s="46">
      <c r="A1" s="78" t="inlineStr">
        <is>
          <t>ASSUMPTIONS (edit yellow cells)</t>
        </is>
      </c>
    </row>
    <row r="2" ht="15" customHeight="1" s="46">
      <c r="A2" s="73" t="inlineStr">
        <is>
          <t>Engineer fully loaded cost / month</t>
        </is>
      </c>
      <c r="B2" s="79" t="n">
        <v>25000</v>
      </c>
      <c r="C2" s="80" t="inlineStr">
        <is>
          <t>$/month</t>
        </is>
      </c>
    </row>
    <row r="3" ht="15" customHeight="1" s="46">
      <c r="A3" s="73" t="inlineStr">
        <is>
          <t>Salesperson fully loaded cost / month</t>
        </is>
      </c>
      <c r="B3" s="79" t="n">
        <v>16000</v>
      </c>
      <c r="C3" s="80" t="inlineStr">
        <is>
          <t>$/month</t>
        </is>
      </c>
    </row>
    <row r="4" ht="15" customHeight="1" s="46">
      <c r="A4" s="73" t="inlineStr">
        <is>
          <t>Customer-success fully loaded cost / mo</t>
        </is>
      </c>
      <c r="B4" s="79" t="n">
        <v>10000</v>
      </c>
      <c r="C4" s="80" t="inlineStr">
        <is>
          <t>$/month</t>
        </is>
      </c>
    </row>
    <row r="5" ht="15" customHeight="1" s="46">
      <c r="A5" s="73" t="inlineStr">
        <is>
          <t>Admin fully loaded cost / month</t>
        </is>
      </c>
      <c r="B5" s="79" t="n">
        <v>9000</v>
      </c>
      <c r="C5" s="80" t="inlineStr">
        <is>
          <t>$/month</t>
        </is>
      </c>
    </row>
    <row r="6" ht="15" customHeight="1" s="46">
      <c r="A6" s="73" t="inlineStr">
        <is>
          <t>Founder cost / month</t>
        </is>
      </c>
      <c r="B6" s="79" t="n">
        <v>8000</v>
      </c>
      <c r="C6" s="80" t="inlineStr">
        <is>
          <t>$/month</t>
        </is>
      </c>
    </row>
    <row r="7" ht="15" customHeight="1" s="46">
      <c r="A7" s="73" t="inlineStr">
        <is>
          <t>Salaries as % of total expenses</t>
        </is>
      </c>
      <c r="B7" s="81" t="n">
        <v>0.7</v>
      </c>
      <c r="C7" s="80" t="inlineStr">
        <is>
          <t>rest is overhead/SaaS/etc</t>
        </is>
      </c>
    </row>
    <row r="8" ht="15" customHeight="1" s="46">
      <c r="A8" s="73" t="inlineStr">
        <is>
          <t>License fee / customer / year</t>
        </is>
      </c>
      <c r="B8" s="79" t="n">
        <v>12000</v>
      </c>
      <c r="C8" s="80" t="inlineStr">
        <is>
          <t>$</t>
        </is>
      </c>
    </row>
    <row r="9" ht="15" customHeight="1" s="46">
      <c r="A9" s="73" t="inlineStr">
        <is>
          <t>Annual attrition rate</t>
        </is>
      </c>
      <c r="B9" s="81" t="n">
        <v>0.1</v>
      </c>
      <c r="C9" s="80" t="inlineStr">
        <is>
          <t>fraction not renewing</t>
        </is>
      </c>
    </row>
    <row r="10" ht="15" customHeight="1" s="46">
      <c r="A10" s="73" t="inlineStr">
        <is>
          <t>1 new-account salesperson generates</t>
        </is>
      </c>
      <c r="B10" s="79" t="n">
        <v>5</v>
      </c>
      <c r="C10" s="80" t="inlineStr">
        <is>
          <t>new customers / month</t>
        </is>
      </c>
    </row>
    <row r="11" ht="15" customHeight="1" s="46">
      <c r="A11" s="73" t="inlineStr">
        <is>
          <t>1 existing-account salesperson supports</t>
        </is>
      </c>
      <c r="B11" s="79" t="n">
        <v>50</v>
      </c>
      <c r="C11" s="80" t="inlineStr">
        <is>
          <t>active customers</t>
        </is>
      </c>
    </row>
    <row r="12" ht="15" customHeight="1" s="46">
      <c r="A12" s="73" t="inlineStr">
        <is>
          <t>1 customer-success person supports</t>
        </is>
      </c>
      <c r="B12" s="79" t="n">
        <v>80</v>
      </c>
      <c r="C12" s="80" t="inlineStr">
        <is>
          <t>active customers</t>
        </is>
      </c>
    </row>
    <row r="13" ht="15" customHeight="1" s="46">
      <c r="A13" s="73" t="inlineStr">
        <is>
          <t>Initial investment</t>
        </is>
      </c>
      <c r="B13" s="79" t="n">
        <v>1500000</v>
      </c>
      <c r="C13" s="80" t="inlineStr">
        <is>
          <t>$ — offsets aggregate P/L</t>
        </is>
      </c>
    </row>
    <row r="15" ht="15" customHeight="1" s="46">
      <c r="A15" s="73" t="inlineStr">
        <is>
          <t>Year</t>
        </is>
      </c>
      <c r="B15" s="82" t="inlineStr">
        <is>
          <t>Year 1</t>
        </is>
      </c>
      <c r="C15" s="83" t="n"/>
      <c r="D15" s="83" t="n"/>
      <c r="E15" s="83" t="n"/>
      <c r="F15" s="83" t="n"/>
      <c r="G15" s="83" t="n"/>
      <c r="H15" s="83" t="n"/>
      <c r="I15" s="83" t="n"/>
      <c r="J15" s="83" t="n"/>
      <c r="K15" s="83" t="n"/>
      <c r="L15" s="83" t="n"/>
      <c r="M15" s="84" t="n"/>
      <c r="N15" s="82" t="inlineStr">
        <is>
          <t>Year 2</t>
        </is>
      </c>
      <c r="O15" s="83" t="n"/>
      <c r="P15" s="83" t="n"/>
      <c r="Q15" s="83" t="n"/>
      <c r="R15" s="83" t="n"/>
      <c r="S15" s="83" t="n"/>
      <c r="T15" s="83" t="n"/>
      <c r="U15" s="83" t="n"/>
      <c r="V15" s="83" t="n"/>
      <c r="W15" s="83" t="n"/>
      <c r="X15" s="83" t="n"/>
      <c r="Y15" s="84" t="n"/>
      <c r="Z15" s="82" t="inlineStr">
        <is>
          <t>Year 3</t>
        </is>
      </c>
      <c r="AA15" s="83" t="n"/>
      <c r="AB15" s="83" t="n"/>
      <c r="AC15" s="83" t="n"/>
      <c r="AD15" s="83" t="n"/>
      <c r="AE15" s="83" t="n"/>
      <c r="AF15" s="83" t="n"/>
      <c r="AG15" s="83" t="n"/>
      <c r="AH15" s="83" t="n"/>
      <c r="AI15" s="83" t="n"/>
      <c r="AJ15" s="83" t="n"/>
      <c r="AK15" s="84" t="n"/>
    </row>
    <row r="16" ht="15" customHeight="1" s="46">
      <c r="A16" s="73" t="inlineStr">
        <is>
          <t>Month</t>
        </is>
      </c>
      <c r="B16" s="85" t="inlineStr">
        <is>
          <t>Jan</t>
        </is>
      </c>
      <c r="C16" s="85" t="inlineStr">
        <is>
          <t>Feb</t>
        </is>
      </c>
      <c r="D16" s="85" t="inlineStr">
        <is>
          <t>Mar</t>
        </is>
      </c>
      <c r="E16" s="85" t="inlineStr">
        <is>
          <t>Apr</t>
        </is>
      </c>
      <c r="F16" s="85" t="inlineStr">
        <is>
          <t>May</t>
        </is>
      </c>
      <c r="G16" s="85" t="inlineStr">
        <is>
          <t>Jun</t>
        </is>
      </c>
      <c r="H16" s="85" t="inlineStr">
        <is>
          <t>Jul</t>
        </is>
      </c>
      <c r="I16" s="85" t="inlineStr">
        <is>
          <t>Aug</t>
        </is>
      </c>
      <c r="J16" s="85" t="inlineStr">
        <is>
          <t>Sep</t>
        </is>
      </c>
      <c r="K16" s="85" t="inlineStr">
        <is>
          <t>Oct</t>
        </is>
      </c>
      <c r="L16" s="85" t="inlineStr">
        <is>
          <t>Nov</t>
        </is>
      </c>
      <c r="M16" s="85" t="inlineStr">
        <is>
          <t>Dec</t>
        </is>
      </c>
      <c r="N16" s="85" t="inlineStr">
        <is>
          <t>Jan</t>
        </is>
      </c>
      <c r="O16" s="85" t="inlineStr">
        <is>
          <t>Feb</t>
        </is>
      </c>
      <c r="P16" s="85" t="inlineStr">
        <is>
          <t>Mar</t>
        </is>
      </c>
      <c r="Q16" s="85" t="inlineStr">
        <is>
          <t>Apr</t>
        </is>
      </c>
      <c r="R16" s="85" t="inlineStr">
        <is>
          <t>May</t>
        </is>
      </c>
      <c r="S16" s="85" t="inlineStr">
        <is>
          <t>Jun</t>
        </is>
      </c>
      <c r="T16" s="85" t="inlineStr">
        <is>
          <t>Jul</t>
        </is>
      </c>
      <c r="U16" s="85" t="inlineStr">
        <is>
          <t>Aug</t>
        </is>
      </c>
      <c r="V16" s="85" t="inlineStr">
        <is>
          <t>Sep</t>
        </is>
      </c>
      <c r="W16" s="85" t="inlineStr">
        <is>
          <t>Oct</t>
        </is>
      </c>
      <c r="X16" s="85" t="inlineStr">
        <is>
          <t>Nov</t>
        </is>
      </c>
      <c r="Y16" s="85" t="inlineStr">
        <is>
          <t>Dec</t>
        </is>
      </c>
      <c r="Z16" s="85" t="inlineStr">
        <is>
          <t>Jan</t>
        </is>
      </c>
      <c r="AA16" s="85" t="inlineStr">
        <is>
          <t>Feb</t>
        </is>
      </c>
      <c r="AB16" s="85" t="inlineStr">
        <is>
          <t>Mar</t>
        </is>
      </c>
      <c r="AC16" s="85" t="inlineStr">
        <is>
          <t>Apr</t>
        </is>
      </c>
      <c r="AD16" s="85" t="inlineStr">
        <is>
          <t>May</t>
        </is>
      </c>
      <c r="AE16" s="85" t="inlineStr">
        <is>
          <t>Jun</t>
        </is>
      </c>
      <c r="AF16" s="85" t="inlineStr">
        <is>
          <t>Jul</t>
        </is>
      </c>
      <c r="AG16" s="85" t="inlineStr">
        <is>
          <t>Aug</t>
        </is>
      </c>
      <c r="AH16" s="85" t="inlineStr">
        <is>
          <t>Sep</t>
        </is>
      </c>
      <c r="AI16" s="85" t="inlineStr">
        <is>
          <t>Oct</t>
        </is>
      </c>
      <c r="AJ16" s="85" t="inlineStr">
        <is>
          <t>Nov</t>
        </is>
      </c>
      <c r="AK16" s="85" t="inlineStr">
        <is>
          <t>Dec</t>
        </is>
      </c>
    </row>
    <row r="17" ht="15" customHeight="1" s="46">
      <c r="A17" s="73" t="inlineStr">
        <is>
          <t>Number of new customers</t>
        </is>
      </c>
      <c r="B17" s="86" t="n">
        <v>3</v>
      </c>
      <c r="C17" s="86" t="n">
        <v>4</v>
      </c>
      <c r="D17" s="86" t="n">
        <v>5</v>
      </c>
      <c r="E17" s="86" t="n">
        <v>6</v>
      </c>
      <c r="F17" s="86" t="n">
        <v>7</v>
      </c>
      <c r="G17" s="86" t="n">
        <v>8</v>
      </c>
      <c r="H17" s="86" t="n">
        <v>9</v>
      </c>
      <c r="I17" s="86" t="n">
        <v>10</v>
      </c>
      <c r="J17" s="86" t="n">
        <v>11</v>
      </c>
      <c r="K17" s="86" t="n">
        <v>12</v>
      </c>
      <c r="L17" s="86" t="n">
        <v>13</v>
      </c>
      <c r="M17" s="86" t="n">
        <v>14</v>
      </c>
      <c r="N17" s="86" t="n">
        <v>15</v>
      </c>
      <c r="O17" s="86" t="n">
        <v>16</v>
      </c>
      <c r="P17" s="86" t="n">
        <v>17</v>
      </c>
      <c r="Q17" s="86" t="n">
        <v>18</v>
      </c>
      <c r="R17" s="86" t="n">
        <v>19</v>
      </c>
      <c r="S17" s="86" t="n">
        <v>20</v>
      </c>
      <c r="T17" s="86" t="n">
        <v>21</v>
      </c>
      <c r="U17" s="86" t="n">
        <v>22</v>
      </c>
      <c r="V17" s="86" t="n">
        <v>23</v>
      </c>
      <c r="W17" s="86" t="n">
        <v>24</v>
      </c>
      <c r="X17" s="86" t="n">
        <v>25</v>
      </c>
      <c r="Y17" s="86" t="n">
        <v>26</v>
      </c>
      <c r="Z17" s="86" t="n">
        <v>27</v>
      </c>
      <c r="AA17" s="86" t="n">
        <v>28</v>
      </c>
      <c r="AB17" s="86" t="n">
        <v>29</v>
      </c>
      <c r="AC17" s="86" t="n">
        <v>30</v>
      </c>
      <c r="AD17" s="86" t="n">
        <v>31</v>
      </c>
      <c r="AE17" s="86" t="n">
        <v>32</v>
      </c>
      <c r="AF17" s="86" t="n">
        <v>33</v>
      </c>
      <c r="AG17" s="86" t="n">
        <v>34</v>
      </c>
      <c r="AH17" s="86" t="n">
        <v>35</v>
      </c>
      <c r="AI17" s="86" t="n">
        <v>36</v>
      </c>
      <c r="AJ17" s="86" t="n">
        <v>37</v>
      </c>
      <c r="AK17" s="86" t="n">
        <v>38</v>
      </c>
    </row>
    <row r="18" ht="15" customHeight="1" s="46">
      <c r="A18" s="73" t="inlineStr">
        <is>
          <t>Number of renewing customers</t>
        </is>
      </c>
      <c r="B18" s="87" t="n">
        <v>0</v>
      </c>
      <c r="C18" s="87" t="n">
        <v>0</v>
      </c>
      <c r="D18" s="87" t="n">
        <v>0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7" t="n">
        <v>0</v>
      </c>
      <c r="K18" s="87" t="n">
        <v>0</v>
      </c>
      <c r="L18" s="87" t="n">
        <v>0</v>
      </c>
      <c r="M18" s="87" t="n">
        <v>0</v>
      </c>
      <c r="N18" s="87">
        <f>(B17+B18)*(1-$B$9)</f>
        <v/>
      </c>
      <c r="O18" s="87">
        <f>(C17+C18)*(1-$B$9)</f>
        <v/>
      </c>
      <c r="P18" s="87">
        <f>(D17+D18)*(1-$B$9)</f>
        <v/>
      </c>
      <c r="Q18" s="87">
        <f>(E17+E18)*(1-$B$9)</f>
        <v/>
      </c>
      <c r="R18" s="87">
        <f>(F17+F18)*(1-$B$9)</f>
        <v/>
      </c>
      <c r="S18" s="87">
        <f>(G17+G18)*(1-$B$9)</f>
        <v/>
      </c>
      <c r="T18" s="87">
        <f>(H17+H18)*(1-$B$9)</f>
        <v/>
      </c>
      <c r="U18" s="87">
        <f>(I17+I18)*(1-$B$9)</f>
        <v/>
      </c>
      <c r="V18" s="87">
        <f>(J17+J18)*(1-$B$9)</f>
        <v/>
      </c>
      <c r="W18" s="87">
        <f>(K17+K18)*(1-$B$9)</f>
        <v/>
      </c>
      <c r="X18" s="87">
        <f>(L17+L18)*(1-$B$9)</f>
        <v/>
      </c>
      <c r="Y18" s="87">
        <f>(M17+M18)*(1-$B$9)</f>
        <v/>
      </c>
      <c r="Z18" s="87">
        <f>(N17+N18)*(1-$B$9)</f>
        <v/>
      </c>
      <c r="AA18" s="87">
        <f>(O17+O18)*(1-$B$9)</f>
        <v/>
      </c>
      <c r="AB18" s="87">
        <f>(P17+P18)*(1-$B$9)</f>
        <v/>
      </c>
      <c r="AC18" s="87">
        <f>(Q17+Q18)*(1-$B$9)</f>
        <v/>
      </c>
      <c r="AD18" s="87">
        <f>(R17+R18)*(1-$B$9)</f>
        <v/>
      </c>
      <c r="AE18" s="87">
        <f>(S17+S18)*(1-$B$9)</f>
        <v/>
      </c>
      <c r="AF18" s="87">
        <f>(T17+T18)*(1-$B$9)</f>
        <v/>
      </c>
      <c r="AG18" s="87">
        <f>(U17+U18)*(1-$B$9)</f>
        <v/>
      </c>
      <c r="AH18" s="87">
        <f>(V17+V18)*(1-$B$9)</f>
        <v/>
      </c>
      <c r="AI18" s="87">
        <f>(W17+W18)*(1-$B$9)</f>
        <v/>
      </c>
      <c r="AJ18" s="87">
        <f>(X17+X18)*(1-$B$9)</f>
        <v/>
      </c>
      <c r="AK18" s="87">
        <f>(Y17+Y18)*(1-$B$9)</f>
        <v/>
      </c>
    </row>
    <row r="19" ht="15" customHeight="1" s="46">
      <c r="A19" s="73" t="inlineStr">
        <is>
          <t>Total number of customers</t>
        </is>
      </c>
      <c r="B19" s="87">
        <f>B17+B18</f>
        <v/>
      </c>
      <c r="C19" s="87">
        <f>B19+C17</f>
        <v/>
      </c>
      <c r="D19" s="87">
        <f>C19+D17</f>
        <v/>
      </c>
      <c r="E19" s="87">
        <f>D19+E17</f>
        <v/>
      </c>
      <c r="F19" s="87">
        <f>E19+F17</f>
        <v/>
      </c>
      <c r="G19" s="87">
        <f>F19+G17</f>
        <v/>
      </c>
      <c r="H19" s="87">
        <f>G19+H17</f>
        <v/>
      </c>
      <c r="I19" s="87">
        <f>H19+I17</f>
        <v/>
      </c>
      <c r="J19" s="87">
        <f>I19+J17</f>
        <v/>
      </c>
      <c r="K19" s="87">
        <f>J19+K17</f>
        <v/>
      </c>
      <c r="L19" s="87">
        <f>K19+L17</f>
        <v/>
      </c>
      <c r="M19" s="87">
        <f>L19+M17</f>
        <v/>
      </c>
      <c r="N19" s="87">
        <f>M19+N17-(B17+B18)*$B$9</f>
        <v/>
      </c>
      <c r="O19" s="87">
        <f>N19+O17-(C17+C18)*$B$9</f>
        <v/>
      </c>
      <c r="P19" s="87">
        <f>O19+P17-(D17+D18)*$B$9</f>
        <v/>
      </c>
      <c r="Q19" s="87">
        <f>P19+Q17-(E17+E18)*$B$9</f>
        <v/>
      </c>
      <c r="R19" s="87">
        <f>Q19+R17-(F17+F18)*$B$9</f>
        <v/>
      </c>
      <c r="S19" s="87">
        <f>R19+S17-(G17+G18)*$B$9</f>
        <v/>
      </c>
      <c r="T19" s="87">
        <f>S19+T17-(H17+H18)*$B$9</f>
        <v/>
      </c>
      <c r="U19" s="87">
        <f>T19+U17-(I17+I18)*$B$9</f>
        <v/>
      </c>
      <c r="V19" s="87">
        <f>U19+V17-(J17+J18)*$B$9</f>
        <v/>
      </c>
      <c r="W19" s="87">
        <f>V19+W17-(K17+K18)*$B$9</f>
        <v/>
      </c>
      <c r="X19" s="87">
        <f>W19+X17-(L17+L18)*$B$9</f>
        <v/>
      </c>
      <c r="Y19" s="87">
        <f>X19+Y17-(M17+M18)*$B$9</f>
        <v/>
      </c>
      <c r="Z19" s="87">
        <f>Y19+Z17-(N17+N18)*$B$9</f>
        <v/>
      </c>
      <c r="AA19" s="87">
        <f>Z19+AA17-(O17+O18)*$B$9</f>
        <v/>
      </c>
      <c r="AB19" s="87">
        <f>AA19+AB17-(P17+P18)*$B$9</f>
        <v/>
      </c>
      <c r="AC19" s="87">
        <f>AB19+AC17-(Q17+Q18)*$B$9</f>
        <v/>
      </c>
      <c r="AD19" s="87">
        <f>AC19+AD17-(R17+R18)*$B$9</f>
        <v/>
      </c>
      <c r="AE19" s="87">
        <f>AD19+AE17-(S17+S18)*$B$9</f>
        <v/>
      </c>
      <c r="AF19" s="87">
        <f>AE19+AF17-(T17+T18)*$B$9</f>
        <v/>
      </c>
      <c r="AG19" s="87">
        <f>AF19+AG17-(U17+U18)*$B$9</f>
        <v/>
      </c>
      <c r="AH19" s="87">
        <f>AG19+AH17-(V17+V18)*$B$9</f>
        <v/>
      </c>
      <c r="AI19" s="87">
        <f>AH19+AI17-(W17+W18)*$B$9</f>
        <v/>
      </c>
      <c r="AJ19" s="87">
        <f>AI19+AJ17-(X17+X18)*$B$9</f>
        <v/>
      </c>
      <c r="AK19" s="87">
        <f>AJ19+AK17-(Y17+Y18)*$B$9</f>
        <v/>
      </c>
    </row>
    <row r="20" ht="15" customHeight="1" s="46">
      <c r="A20" s="73" t="inlineStr">
        <is>
          <t>Revenue</t>
        </is>
      </c>
      <c r="B20" s="88">
        <f>B19*$B$8/12</f>
        <v/>
      </c>
      <c r="C20" s="88">
        <f>C19*$B$8/12</f>
        <v/>
      </c>
      <c r="D20" s="88">
        <f>D19*$B$8/12</f>
        <v/>
      </c>
      <c r="E20" s="88">
        <f>E19*$B$8/12</f>
        <v/>
      </c>
      <c r="F20" s="88">
        <f>F19*$B$8/12</f>
        <v/>
      </c>
      <c r="G20" s="88">
        <f>G19*$B$8/12</f>
        <v/>
      </c>
      <c r="H20" s="88">
        <f>H19*$B$8/12</f>
        <v/>
      </c>
      <c r="I20" s="88">
        <f>I19*$B$8/12</f>
        <v/>
      </c>
      <c r="J20" s="88">
        <f>J19*$B$8/12</f>
        <v/>
      </c>
      <c r="K20" s="88">
        <f>K19*$B$8/12</f>
        <v/>
      </c>
      <c r="L20" s="88">
        <f>L19*$B$8/12</f>
        <v/>
      </c>
      <c r="M20" s="88">
        <f>M19*$B$8/12</f>
        <v/>
      </c>
      <c r="N20" s="88">
        <f>N19*$B$8/12</f>
        <v/>
      </c>
      <c r="O20" s="88">
        <f>O19*$B$8/12</f>
        <v/>
      </c>
      <c r="P20" s="88">
        <f>P19*$B$8/12</f>
        <v/>
      </c>
      <c r="Q20" s="88">
        <f>Q19*$B$8/12</f>
        <v/>
      </c>
      <c r="R20" s="88">
        <f>R19*$B$8/12</f>
        <v/>
      </c>
      <c r="S20" s="88">
        <f>S19*$B$8/12</f>
        <v/>
      </c>
      <c r="T20" s="88">
        <f>T19*$B$8/12</f>
        <v/>
      </c>
      <c r="U20" s="88">
        <f>U19*$B$8/12</f>
        <v/>
      </c>
      <c r="V20" s="88">
        <f>V19*$B$8/12</f>
        <v/>
      </c>
      <c r="W20" s="88">
        <f>W19*$B$8/12</f>
        <v/>
      </c>
      <c r="X20" s="88">
        <f>X19*$B$8/12</f>
        <v/>
      </c>
      <c r="Y20" s="88">
        <f>Y19*$B$8/12</f>
        <v/>
      </c>
      <c r="Z20" s="88">
        <f>Z19*$B$8/12</f>
        <v/>
      </c>
      <c r="AA20" s="88">
        <f>AA19*$B$8/12</f>
        <v/>
      </c>
      <c r="AB20" s="88">
        <f>AB19*$B$8/12</f>
        <v/>
      </c>
      <c r="AC20" s="88">
        <f>AC19*$B$8/12</f>
        <v/>
      </c>
      <c r="AD20" s="88">
        <f>AD19*$B$8/12</f>
        <v/>
      </c>
      <c r="AE20" s="88">
        <f>AE19*$B$8/12</f>
        <v/>
      </c>
      <c r="AF20" s="88">
        <f>AF19*$B$8/12</f>
        <v/>
      </c>
      <c r="AG20" s="88">
        <f>AG19*$B$8/12</f>
        <v/>
      </c>
      <c r="AH20" s="88">
        <f>AH19*$B$8/12</f>
        <v/>
      </c>
      <c r="AI20" s="88">
        <f>AI19*$B$8/12</f>
        <v/>
      </c>
      <c r="AJ20" s="88">
        <f>AJ19*$B$8/12</f>
        <v/>
      </c>
      <c r="AK20" s="88">
        <f>AK19*$B$8/12</f>
        <v/>
      </c>
    </row>
    <row r="21" ht="15" customHeight="1" s="46">
      <c r="A21" s="73" t="inlineStr">
        <is>
          <t>Salespeople — new accounts</t>
        </is>
      </c>
      <c r="B21" s="87">
        <f>IF(B17=0,0,CEILING(B17/$B$10,1))</f>
        <v/>
      </c>
      <c r="C21" s="87">
        <f>IF(C17=0,0,CEILING(C17/$B$10,1))</f>
        <v/>
      </c>
      <c r="D21" s="87">
        <f>IF(D17=0,0,CEILING(D17/$B$10,1))</f>
        <v/>
      </c>
      <c r="E21" s="87">
        <f>IF(E17=0,0,CEILING(E17/$B$10,1))</f>
        <v/>
      </c>
      <c r="F21" s="87">
        <f>IF(F17=0,0,CEILING(F17/$B$10,1))</f>
        <v/>
      </c>
      <c r="G21" s="87">
        <f>IF(G17=0,0,CEILING(G17/$B$10,1))</f>
        <v/>
      </c>
      <c r="H21" s="87">
        <f>IF(H17=0,0,CEILING(H17/$B$10,1))</f>
        <v/>
      </c>
      <c r="I21" s="87">
        <f>IF(I17=0,0,CEILING(I17/$B$10,1))</f>
        <v/>
      </c>
      <c r="J21" s="87">
        <f>IF(J17=0,0,CEILING(J17/$B$10,1))</f>
        <v/>
      </c>
      <c r="K21" s="87">
        <f>IF(K17=0,0,CEILING(K17/$B$10,1))</f>
        <v/>
      </c>
      <c r="L21" s="87">
        <f>IF(L17=0,0,CEILING(L17/$B$10,1))</f>
        <v/>
      </c>
      <c r="M21" s="87">
        <f>IF(M17=0,0,CEILING(M17/$B$10,1))</f>
        <v/>
      </c>
      <c r="N21" s="87">
        <f>IF(N17=0,0,CEILING(N17/$B$10,1))</f>
        <v/>
      </c>
      <c r="O21" s="87">
        <f>IF(O17=0,0,CEILING(O17/$B$10,1))</f>
        <v/>
      </c>
      <c r="P21" s="87">
        <f>IF(P17=0,0,CEILING(P17/$B$10,1))</f>
        <v/>
      </c>
      <c r="Q21" s="87">
        <f>IF(Q17=0,0,CEILING(Q17/$B$10,1))</f>
        <v/>
      </c>
      <c r="R21" s="87">
        <f>IF(R17=0,0,CEILING(R17/$B$10,1))</f>
        <v/>
      </c>
      <c r="S21" s="87">
        <f>IF(S17=0,0,CEILING(S17/$B$10,1))</f>
        <v/>
      </c>
      <c r="T21" s="87">
        <f>IF(T17=0,0,CEILING(T17/$B$10,1))</f>
        <v/>
      </c>
      <c r="U21" s="87">
        <f>IF(U17=0,0,CEILING(U17/$B$10,1))</f>
        <v/>
      </c>
      <c r="V21" s="87">
        <f>IF(V17=0,0,CEILING(V17/$B$10,1))</f>
        <v/>
      </c>
      <c r="W21" s="87">
        <f>IF(W17=0,0,CEILING(W17/$B$10,1))</f>
        <v/>
      </c>
      <c r="X21" s="87">
        <f>IF(X17=0,0,CEILING(X17/$B$10,1))</f>
        <v/>
      </c>
      <c r="Y21" s="87">
        <f>IF(Y17=0,0,CEILING(Y17/$B$10,1))</f>
        <v/>
      </c>
      <c r="Z21" s="87">
        <f>IF(Z17=0,0,CEILING(Z17/$B$10,1))</f>
        <v/>
      </c>
      <c r="AA21" s="87">
        <f>IF(AA17=0,0,CEILING(AA17/$B$10,1))</f>
        <v/>
      </c>
      <c r="AB21" s="87">
        <f>IF(AB17=0,0,CEILING(AB17/$B$10,1))</f>
        <v/>
      </c>
      <c r="AC21" s="87">
        <f>IF(AC17=0,0,CEILING(AC17/$B$10,1))</f>
        <v/>
      </c>
      <c r="AD21" s="87">
        <f>IF(AD17=0,0,CEILING(AD17/$B$10,1))</f>
        <v/>
      </c>
      <c r="AE21" s="87">
        <f>IF(AE17=0,0,CEILING(AE17/$B$10,1))</f>
        <v/>
      </c>
      <c r="AF21" s="87">
        <f>IF(AF17=0,0,CEILING(AF17/$B$10,1))</f>
        <v/>
      </c>
      <c r="AG21" s="87">
        <f>IF(AG17=0,0,CEILING(AG17/$B$10,1))</f>
        <v/>
      </c>
      <c r="AH21" s="87">
        <f>IF(AH17=0,0,CEILING(AH17/$B$10,1))</f>
        <v/>
      </c>
      <c r="AI21" s="87">
        <f>IF(AI17=0,0,CEILING(AI17/$B$10,1))</f>
        <v/>
      </c>
      <c r="AJ21" s="87">
        <f>IF(AJ17=0,0,CEILING(AJ17/$B$10,1))</f>
        <v/>
      </c>
      <c r="AK21" s="87">
        <f>IF(AK17=0,0,CEILING(AK17/$B$10,1))</f>
        <v/>
      </c>
    </row>
    <row r="22" ht="15" customHeight="1" s="46">
      <c r="A22" s="73" t="inlineStr">
        <is>
          <t>Salespeople — existing customers</t>
        </is>
      </c>
      <c r="B22" s="87" t="n">
        <v>0</v>
      </c>
      <c r="C22" s="87">
        <f>IF(B19=0,0,CEILING(B19/$B$11,1))</f>
        <v/>
      </c>
      <c r="D22" s="87">
        <f>IF(C19=0,0,CEILING(C19/$B$11,1))</f>
        <v/>
      </c>
      <c r="E22" s="87">
        <f>IF(D19=0,0,CEILING(D19/$B$11,1))</f>
        <v/>
      </c>
      <c r="F22" s="87">
        <f>IF(E19=0,0,CEILING(E19/$B$11,1))</f>
        <v/>
      </c>
      <c r="G22" s="87">
        <f>IF(F19=0,0,CEILING(F19/$B$11,1))</f>
        <v/>
      </c>
      <c r="H22" s="87">
        <f>IF(G19=0,0,CEILING(G19/$B$11,1))</f>
        <v/>
      </c>
      <c r="I22" s="87">
        <f>IF(H19=0,0,CEILING(H19/$B$11,1))</f>
        <v/>
      </c>
      <c r="J22" s="87">
        <f>IF(I19=0,0,CEILING(I19/$B$11,1))</f>
        <v/>
      </c>
      <c r="K22" s="87">
        <f>IF(J19=0,0,CEILING(J19/$B$11,1))</f>
        <v/>
      </c>
      <c r="L22" s="87">
        <f>IF(K19=0,0,CEILING(K19/$B$11,1))</f>
        <v/>
      </c>
      <c r="M22" s="87">
        <f>IF(L19=0,0,CEILING(L19/$B$11,1))</f>
        <v/>
      </c>
      <c r="N22" s="87">
        <f>IF(M19=0,0,CEILING(M19/$B$11,1))</f>
        <v/>
      </c>
      <c r="O22" s="87">
        <f>IF(N19=0,0,CEILING(N19/$B$11,1))</f>
        <v/>
      </c>
      <c r="P22" s="87">
        <f>IF(O19=0,0,CEILING(O19/$B$11,1))</f>
        <v/>
      </c>
      <c r="Q22" s="87">
        <f>IF(P19=0,0,CEILING(P19/$B$11,1))</f>
        <v/>
      </c>
      <c r="R22" s="87">
        <f>IF(Q19=0,0,CEILING(Q19/$B$11,1))</f>
        <v/>
      </c>
      <c r="S22" s="87">
        <f>IF(R19=0,0,CEILING(R19/$B$11,1))</f>
        <v/>
      </c>
      <c r="T22" s="87">
        <f>IF(S19=0,0,CEILING(S19/$B$11,1))</f>
        <v/>
      </c>
      <c r="U22" s="87">
        <f>IF(T19=0,0,CEILING(T19/$B$11,1))</f>
        <v/>
      </c>
      <c r="V22" s="87">
        <f>IF(U19=0,0,CEILING(U19/$B$11,1))</f>
        <v/>
      </c>
      <c r="W22" s="87">
        <f>IF(V19=0,0,CEILING(V19/$B$11,1))</f>
        <v/>
      </c>
      <c r="X22" s="87">
        <f>IF(W19=0,0,CEILING(W19/$B$11,1))</f>
        <v/>
      </c>
      <c r="Y22" s="87">
        <f>IF(X19=0,0,CEILING(X19/$B$11,1))</f>
        <v/>
      </c>
      <c r="Z22" s="87">
        <f>IF(Y19=0,0,CEILING(Y19/$B$11,1))</f>
        <v/>
      </c>
      <c r="AA22" s="87">
        <f>IF(Z19=0,0,CEILING(Z19/$B$11,1))</f>
        <v/>
      </c>
      <c r="AB22" s="87">
        <f>IF(AA19=0,0,CEILING(AA19/$B$11,1))</f>
        <v/>
      </c>
      <c r="AC22" s="87">
        <f>IF(AB19=0,0,CEILING(AB19/$B$11,1))</f>
        <v/>
      </c>
      <c r="AD22" s="87">
        <f>IF(AC19=0,0,CEILING(AC19/$B$11,1))</f>
        <v/>
      </c>
      <c r="AE22" s="87">
        <f>IF(AD19=0,0,CEILING(AD19/$B$11,1))</f>
        <v/>
      </c>
      <c r="AF22" s="87">
        <f>IF(AE19=0,0,CEILING(AE19/$B$11,1))</f>
        <v/>
      </c>
      <c r="AG22" s="87">
        <f>IF(AF19=0,0,CEILING(AF19/$B$11,1))</f>
        <v/>
      </c>
      <c r="AH22" s="87">
        <f>IF(AG19=0,0,CEILING(AG19/$B$11,1))</f>
        <v/>
      </c>
      <c r="AI22" s="87">
        <f>IF(AH19=0,0,CEILING(AH19/$B$11,1))</f>
        <v/>
      </c>
      <c r="AJ22" s="87">
        <f>IF(AI19=0,0,CEILING(AI19/$B$11,1))</f>
        <v/>
      </c>
      <c r="AK22" s="87">
        <f>IF(AJ19=0,0,CEILING(AJ19/$B$11,1))</f>
        <v/>
      </c>
    </row>
    <row r="23" ht="15" customHeight="1" s="46">
      <c r="A23" s="73" t="inlineStr">
        <is>
          <t>Engineers</t>
        </is>
      </c>
      <c r="B23" s="86" t="n">
        <v>2</v>
      </c>
      <c r="C23" s="86" t="n">
        <v>2</v>
      </c>
      <c r="D23" s="86" t="n">
        <v>2</v>
      </c>
      <c r="E23" s="86" t="n">
        <v>2</v>
      </c>
      <c r="F23" s="86" t="n">
        <v>2</v>
      </c>
      <c r="G23" s="86" t="n">
        <v>2</v>
      </c>
      <c r="H23" s="86" t="n">
        <v>2</v>
      </c>
      <c r="I23" s="86" t="n">
        <v>2</v>
      </c>
      <c r="J23" s="86" t="n">
        <v>2</v>
      </c>
      <c r="K23" s="86" t="n">
        <v>2</v>
      </c>
      <c r="L23" s="86" t="n">
        <v>2</v>
      </c>
      <c r="M23" s="86" t="n">
        <v>2</v>
      </c>
      <c r="N23" s="86" t="n">
        <v>3</v>
      </c>
      <c r="O23" s="86" t="n">
        <v>3</v>
      </c>
      <c r="P23" s="86" t="n">
        <v>3</v>
      </c>
      <c r="Q23" s="86" t="n">
        <v>3</v>
      </c>
      <c r="R23" s="86" t="n">
        <v>3</v>
      </c>
      <c r="S23" s="86" t="n">
        <v>3</v>
      </c>
      <c r="T23" s="86" t="n">
        <v>3</v>
      </c>
      <c r="U23" s="86" t="n">
        <v>3</v>
      </c>
      <c r="V23" s="86" t="n">
        <v>3</v>
      </c>
      <c r="W23" s="86" t="n">
        <v>3</v>
      </c>
      <c r="X23" s="86" t="n">
        <v>3</v>
      </c>
      <c r="Y23" s="86" t="n">
        <v>3</v>
      </c>
      <c r="Z23" s="86" t="n">
        <v>4</v>
      </c>
      <c r="AA23" s="86" t="n">
        <v>4</v>
      </c>
      <c r="AB23" s="86" t="n">
        <v>4</v>
      </c>
      <c r="AC23" s="86" t="n">
        <v>4</v>
      </c>
      <c r="AD23" s="86" t="n">
        <v>4</v>
      </c>
      <c r="AE23" s="86" t="n">
        <v>4</v>
      </c>
      <c r="AF23" s="86" t="n">
        <v>4</v>
      </c>
      <c r="AG23" s="86" t="n">
        <v>4</v>
      </c>
      <c r="AH23" s="86" t="n">
        <v>4</v>
      </c>
      <c r="AI23" s="86" t="n">
        <v>4</v>
      </c>
      <c r="AJ23" s="86" t="n">
        <v>4</v>
      </c>
      <c r="AK23" s="86" t="n">
        <v>4</v>
      </c>
    </row>
    <row r="24" ht="15" customHeight="1" s="46">
      <c r="A24" s="73" t="inlineStr">
        <is>
          <t>Founders</t>
        </is>
      </c>
      <c r="B24" s="86" t="n">
        <v>2</v>
      </c>
      <c r="C24" s="86" t="n">
        <v>2</v>
      </c>
      <c r="D24" s="86" t="n">
        <v>2</v>
      </c>
      <c r="E24" s="86" t="n">
        <v>2</v>
      </c>
      <c r="F24" s="86" t="n">
        <v>2</v>
      </c>
      <c r="G24" s="86" t="n">
        <v>2</v>
      </c>
      <c r="H24" s="86" t="n">
        <v>2</v>
      </c>
      <c r="I24" s="86" t="n">
        <v>2</v>
      </c>
      <c r="J24" s="86" t="n">
        <v>2</v>
      </c>
      <c r="K24" s="86" t="n">
        <v>2</v>
      </c>
      <c r="L24" s="86" t="n">
        <v>2</v>
      </c>
      <c r="M24" s="86" t="n">
        <v>2</v>
      </c>
      <c r="N24" s="86" t="n">
        <v>2</v>
      </c>
      <c r="O24" s="86" t="n">
        <v>2</v>
      </c>
      <c r="P24" s="86" t="n">
        <v>2</v>
      </c>
      <c r="Q24" s="86" t="n">
        <v>2</v>
      </c>
      <c r="R24" s="86" t="n">
        <v>2</v>
      </c>
      <c r="S24" s="86" t="n">
        <v>2</v>
      </c>
      <c r="T24" s="86" t="n">
        <v>2</v>
      </c>
      <c r="U24" s="86" t="n">
        <v>2</v>
      </c>
      <c r="V24" s="86" t="n">
        <v>2</v>
      </c>
      <c r="W24" s="86" t="n">
        <v>2</v>
      </c>
      <c r="X24" s="86" t="n">
        <v>2</v>
      </c>
      <c r="Y24" s="86" t="n">
        <v>2</v>
      </c>
      <c r="Z24" s="86" t="n">
        <v>2</v>
      </c>
      <c r="AA24" s="86" t="n">
        <v>2</v>
      </c>
      <c r="AB24" s="86" t="n">
        <v>2</v>
      </c>
      <c r="AC24" s="86" t="n">
        <v>2</v>
      </c>
      <c r="AD24" s="86" t="n">
        <v>2</v>
      </c>
      <c r="AE24" s="86" t="n">
        <v>2</v>
      </c>
      <c r="AF24" s="86" t="n">
        <v>2</v>
      </c>
      <c r="AG24" s="86" t="n">
        <v>2</v>
      </c>
      <c r="AH24" s="86" t="n">
        <v>2</v>
      </c>
      <c r="AI24" s="86" t="n">
        <v>2</v>
      </c>
      <c r="AJ24" s="86" t="n">
        <v>2</v>
      </c>
      <c r="AK24" s="86" t="n">
        <v>2</v>
      </c>
    </row>
    <row r="25" ht="15" customHeight="1" s="46">
      <c r="A25" s="73" t="inlineStr">
        <is>
          <t>Customer-success people</t>
        </is>
      </c>
      <c r="B25" s="87" t="n">
        <v>0</v>
      </c>
      <c r="C25" s="87">
        <f>IF(B19=0,0,CEILING(B19/$B$12,1))</f>
        <v/>
      </c>
      <c r="D25" s="87">
        <f>IF(C19=0,0,CEILING(C19/$B$12,1))</f>
        <v/>
      </c>
      <c r="E25" s="87">
        <f>IF(D19=0,0,CEILING(D19/$B$12,1))</f>
        <v/>
      </c>
      <c r="F25" s="87">
        <f>IF(E19=0,0,CEILING(E19/$B$12,1))</f>
        <v/>
      </c>
      <c r="G25" s="87">
        <f>IF(F19=0,0,CEILING(F19/$B$12,1))</f>
        <v/>
      </c>
      <c r="H25" s="87">
        <f>IF(G19=0,0,CEILING(G19/$B$12,1))</f>
        <v/>
      </c>
      <c r="I25" s="87">
        <f>IF(H19=0,0,CEILING(H19/$B$12,1))</f>
        <v/>
      </c>
      <c r="J25" s="87">
        <f>IF(I19=0,0,CEILING(I19/$B$12,1))</f>
        <v/>
      </c>
      <c r="K25" s="87">
        <f>IF(J19=0,0,CEILING(J19/$B$12,1))</f>
        <v/>
      </c>
      <c r="L25" s="87">
        <f>IF(K19=0,0,CEILING(K19/$B$12,1))</f>
        <v/>
      </c>
      <c r="M25" s="87">
        <f>IF(L19=0,0,CEILING(L19/$B$12,1))</f>
        <v/>
      </c>
      <c r="N25" s="87">
        <f>IF(M19=0,0,CEILING(M19/$B$12,1))</f>
        <v/>
      </c>
      <c r="O25" s="87">
        <f>IF(N19=0,0,CEILING(N19/$B$12,1))</f>
        <v/>
      </c>
      <c r="P25" s="87">
        <f>IF(O19=0,0,CEILING(O19/$B$12,1))</f>
        <v/>
      </c>
      <c r="Q25" s="87">
        <f>IF(P19=0,0,CEILING(P19/$B$12,1))</f>
        <v/>
      </c>
      <c r="R25" s="87">
        <f>IF(Q19=0,0,CEILING(Q19/$B$12,1))</f>
        <v/>
      </c>
      <c r="S25" s="87">
        <f>IF(R19=0,0,CEILING(R19/$B$12,1))</f>
        <v/>
      </c>
      <c r="T25" s="87">
        <f>IF(S19=0,0,CEILING(S19/$B$12,1))</f>
        <v/>
      </c>
      <c r="U25" s="87">
        <f>IF(T19=0,0,CEILING(T19/$B$12,1))</f>
        <v/>
      </c>
      <c r="V25" s="87">
        <f>IF(U19=0,0,CEILING(U19/$B$12,1))</f>
        <v/>
      </c>
      <c r="W25" s="87">
        <f>IF(V19=0,0,CEILING(V19/$B$12,1))</f>
        <v/>
      </c>
      <c r="X25" s="87">
        <f>IF(W19=0,0,CEILING(W19/$B$12,1))</f>
        <v/>
      </c>
      <c r="Y25" s="87">
        <f>IF(X19=0,0,CEILING(X19/$B$12,1))</f>
        <v/>
      </c>
      <c r="Z25" s="87">
        <f>IF(Y19=0,0,CEILING(Y19/$B$12,1))</f>
        <v/>
      </c>
      <c r="AA25" s="87">
        <f>IF(Z19=0,0,CEILING(Z19/$B$12,1))</f>
        <v/>
      </c>
      <c r="AB25" s="87">
        <f>IF(AA19=0,0,CEILING(AA19/$B$12,1))</f>
        <v/>
      </c>
      <c r="AC25" s="87">
        <f>IF(AB19=0,0,CEILING(AB19/$B$12,1))</f>
        <v/>
      </c>
      <c r="AD25" s="87">
        <f>IF(AC19=0,0,CEILING(AC19/$B$12,1))</f>
        <v/>
      </c>
      <c r="AE25" s="87">
        <f>IF(AD19=0,0,CEILING(AD19/$B$12,1))</f>
        <v/>
      </c>
      <c r="AF25" s="87">
        <f>IF(AE19=0,0,CEILING(AE19/$B$12,1))</f>
        <v/>
      </c>
      <c r="AG25" s="87">
        <f>IF(AF19=0,0,CEILING(AF19/$B$12,1))</f>
        <v/>
      </c>
      <c r="AH25" s="87">
        <f>IF(AG19=0,0,CEILING(AG19/$B$12,1))</f>
        <v/>
      </c>
      <c r="AI25" s="87">
        <f>IF(AH19=0,0,CEILING(AH19/$B$12,1))</f>
        <v/>
      </c>
      <c r="AJ25" s="87">
        <f>IF(AI19=0,0,CEILING(AI19/$B$12,1))</f>
        <v/>
      </c>
      <c r="AK25" s="87">
        <f>IF(AJ19=0,0,CEILING(AJ19/$B$12,1))</f>
        <v/>
      </c>
    </row>
    <row r="26" ht="15" customHeight="1" s="46">
      <c r="A26" s="73" t="inlineStr">
        <is>
          <t>Admin</t>
        </is>
      </c>
      <c r="B26" s="86" t="n">
        <v>0</v>
      </c>
      <c r="C26" s="86" t="n">
        <v>0</v>
      </c>
      <c r="D26" s="86" t="n">
        <v>0</v>
      </c>
      <c r="E26" s="86" t="n">
        <v>0</v>
      </c>
      <c r="F26" s="86" t="n">
        <v>0</v>
      </c>
      <c r="G26" s="86" t="n">
        <v>0</v>
      </c>
      <c r="H26" s="86" t="n">
        <v>1</v>
      </c>
      <c r="I26" s="86" t="n">
        <v>1</v>
      </c>
      <c r="J26" s="86" t="n">
        <v>1</v>
      </c>
      <c r="K26" s="86" t="n">
        <v>1</v>
      </c>
      <c r="L26" s="86" t="n">
        <v>1</v>
      </c>
      <c r="M26" s="86" t="n">
        <v>1</v>
      </c>
      <c r="N26" s="86" t="n">
        <v>1</v>
      </c>
      <c r="O26" s="86" t="n">
        <v>1</v>
      </c>
      <c r="P26" s="86" t="n">
        <v>1</v>
      </c>
      <c r="Q26" s="86" t="n">
        <v>1</v>
      </c>
      <c r="R26" s="86" t="n">
        <v>1</v>
      </c>
      <c r="S26" s="86" t="n">
        <v>1</v>
      </c>
      <c r="T26" s="86" t="n">
        <v>1</v>
      </c>
      <c r="U26" s="86" t="n">
        <v>1</v>
      </c>
      <c r="V26" s="86" t="n">
        <v>1</v>
      </c>
      <c r="W26" s="86" t="n">
        <v>1</v>
      </c>
      <c r="X26" s="86" t="n">
        <v>1</v>
      </c>
      <c r="Y26" s="86" t="n">
        <v>1</v>
      </c>
      <c r="Z26" s="86" t="n">
        <v>1</v>
      </c>
      <c r="AA26" s="86" t="n">
        <v>1</v>
      </c>
      <c r="AB26" s="86" t="n">
        <v>1</v>
      </c>
      <c r="AC26" s="86" t="n">
        <v>1</v>
      </c>
      <c r="AD26" s="86" t="n">
        <v>1</v>
      </c>
      <c r="AE26" s="86" t="n">
        <v>1</v>
      </c>
      <c r="AF26" s="86" t="n">
        <v>1</v>
      </c>
      <c r="AG26" s="86" t="n">
        <v>1</v>
      </c>
      <c r="AH26" s="86" t="n">
        <v>1</v>
      </c>
      <c r="AI26" s="86" t="n">
        <v>1</v>
      </c>
      <c r="AJ26" s="86" t="n">
        <v>1</v>
      </c>
      <c r="AK26" s="86" t="n">
        <v>1</v>
      </c>
    </row>
    <row r="27" ht="15" customHeight="1" s="46">
      <c r="A27" s="73" t="inlineStr">
        <is>
          <t>Salaries (headcount × cost)</t>
        </is>
      </c>
      <c r="B27" s="88">
        <f>(B21+B22)*$B$3+B23*$B$2+B24*$B$6+B25*$B$4+B26*$B$5</f>
        <v/>
      </c>
      <c r="C27" s="88">
        <f>(C21+C22)*$B$3+C23*$B$2+C24*$B$6+C25*$B$4+C26*$B$5</f>
        <v/>
      </c>
      <c r="D27" s="88">
        <f>(D21+D22)*$B$3+D23*$B$2+D24*$B$6+D25*$B$4+D26*$B$5</f>
        <v/>
      </c>
      <c r="E27" s="88">
        <f>(E21+E22)*$B$3+E23*$B$2+E24*$B$6+E25*$B$4+E26*$B$5</f>
        <v/>
      </c>
      <c r="F27" s="88">
        <f>(F21+F22)*$B$3+F23*$B$2+F24*$B$6+F25*$B$4+F26*$B$5</f>
        <v/>
      </c>
      <c r="G27" s="88">
        <f>(G21+G22)*$B$3+G23*$B$2+G24*$B$6+G25*$B$4+G26*$B$5</f>
        <v/>
      </c>
      <c r="H27" s="88">
        <f>(H21+H22)*$B$3+H23*$B$2+H24*$B$6+H25*$B$4+H26*$B$5</f>
        <v/>
      </c>
      <c r="I27" s="88">
        <f>(I21+I22)*$B$3+I23*$B$2+I24*$B$6+I25*$B$4+I26*$B$5</f>
        <v/>
      </c>
      <c r="J27" s="88">
        <f>(J21+J22)*$B$3+J23*$B$2+J24*$B$6+J25*$B$4+J26*$B$5</f>
        <v/>
      </c>
      <c r="K27" s="88">
        <f>(K21+K22)*$B$3+K23*$B$2+K24*$B$6+K25*$B$4+K26*$B$5</f>
        <v/>
      </c>
      <c r="L27" s="88">
        <f>(L21+L22)*$B$3+L23*$B$2+L24*$B$6+L25*$B$4+L26*$B$5</f>
        <v/>
      </c>
      <c r="M27" s="88">
        <f>(M21+M22)*$B$3+M23*$B$2+M24*$B$6+M25*$B$4+M26*$B$5</f>
        <v/>
      </c>
      <c r="N27" s="88">
        <f>(N21+N22)*$B$3+N23*$B$2+N24*$B$6+N25*$B$4+N26*$B$5</f>
        <v/>
      </c>
      <c r="O27" s="88">
        <f>(O21+O22)*$B$3+O23*$B$2+O24*$B$6+O25*$B$4+O26*$B$5</f>
        <v/>
      </c>
      <c r="P27" s="88">
        <f>(P21+P22)*$B$3+P23*$B$2+P24*$B$6+P25*$B$4+P26*$B$5</f>
        <v/>
      </c>
      <c r="Q27" s="88">
        <f>(Q21+Q22)*$B$3+Q23*$B$2+Q24*$B$6+Q25*$B$4+Q26*$B$5</f>
        <v/>
      </c>
      <c r="R27" s="88">
        <f>(R21+R22)*$B$3+R23*$B$2+R24*$B$6+R25*$B$4+R26*$B$5</f>
        <v/>
      </c>
      <c r="S27" s="88">
        <f>(S21+S22)*$B$3+S23*$B$2+S24*$B$6+S25*$B$4+S26*$B$5</f>
        <v/>
      </c>
      <c r="T27" s="88">
        <f>(T21+T22)*$B$3+T23*$B$2+T24*$B$6+T25*$B$4+T26*$B$5</f>
        <v/>
      </c>
      <c r="U27" s="88">
        <f>(U21+U22)*$B$3+U23*$B$2+U24*$B$6+U25*$B$4+U26*$B$5</f>
        <v/>
      </c>
      <c r="V27" s="88">
        <f>(V21+V22)*$B$3+V23*$B$2+V24*$B$6+V25*$B$4+V26*$B$5</f>
        <v/>
      </c>
      <c r="W27" s="88">
        <f>(W21+W22)*$B$3+W23*$B$2+W24*$B$6+W25*$B$4+W26*$B$5</f>
        <v/>
      </c>
      <c r="X27" s="88">
        <f>(X21+X22)*$B$3+X23*$B$2+X24*$B$6+X25*$B$4+X26*$B$5</f>
        <v/>
      </c>
      <c r="Y27" s="88">
        <f>(Y21+Y22)*$B$3+Y23*$B$2+Y24*$B$6+Y25*$B$4+Y26*$B$5</f>
        <v/>
      </c>
      <c r="Z27" s="88">
        <f>(Z21+Z22)*$B$3+Z23*$B$2+Z24*$B$6+Z25*$B$4+Z26*$B$5</f>
        <v/>
      </c>
      <c r="AA27" s="88">
        <f>(AA21+AA22)*$B$3+AA23*$B$2+AA24*$B$6+AA25*$B$4+AA26*$B$5</f>
        <v/>
      </c>
      <c r="AB27" s="88">
        <f>(AB21+AB22)*$B$3+AB23*$B$2+AB24*$B$6+AB25*$B$4+AB26*$B$5</f>
        <v/>
      </c>
      <c r="AC27" s="88">
        <f>(AC21+AC22)*$B$3+AC23*$B$2+AC24*$B$6+AC25*$B$4+AC26*$B$5</f>
        <v/>
      </c>
      <c r="AD27" s="88">
        <f>(AD21+AD22)*$B$3+AD23*$B$2+AD24*$B$6+AD25*$B$4+AD26*$B$5</f>
        <v/>
      </c>
      <c r="AE27" s="88">
        <f>(AE21+AE22)*$B$3+AE23*$B$2+AE24*$B$6+AE25*$B$4+AE26*$B$5</f>
        <v/>
      </c>
      <c r="AF27" s="88">
        <f>(AF21+AF22)*$B$3+AF23*$B$2+AF24*$B$6+AF25*$B$4+AF26*$B$5</f>
        <v/>
      </c>
      <c r="AG27" s="88">
        <f>(AG21+AG22)*$B$3+AG23*$B$2+AG24*$B$6+AG25*$B$4+AG26*$B$5</f>
        <v/>
      </c>
      <c r="AH27" s="88">
        <f>(AH21+AH22)*$B$3+AH23*$B$2+AH24*$B$6+AH25*$B$4+AH26*$B$5</f>
        <v/>
      </c>
      <c r="AI27" s="88">
        <f>(AI21+AI22)*$B$3+AI23*$B$2+AI24*$B$6+AI25*$B$4+AI26*$B$5</f>
        <v/>
      </c>
      <c r="AJ27" s="88">
        <f>(AJ21+AJ22)*$B$3+AJ23*$B$2+AJ24*$B$6+AJ25*$B$4+AJ26*$B$5</f>
        <v/>
      </c>
      <c r="AK27" s="88">
        <f>(AK21+AK22)*$B$3+AK23*$B$2+AK24*$B$6+AK25*$B$4+AK26*$B$5</f>
        <v/>
      </c>
    </row>
    <row r="28" ht="15" customHeight="1" s="46">
      <c r="A28" s="73" t="inlineStr">
        <is>
          <t>Expenses (= salaries / salary %)</t>
        </is>
      </c>
      <c r="B28" s="88">
        <f>B27/$B$7</f>
        <v/>
      </c>
      <c r="C28" s="88">
        <f>C27/$B$7</f>
        <v/>
      </c>
      <c r="D28" s="88">
        <f>D27/$B$7</f>
        <v/>
      </c>
      <c r="E28" s="88">
        <f>E27/$B$7</f>
        <v/>
      </c>
      <c r="F28" s="88">
        <f>F27/$B$7</f>
        <v/>
      </c>
      <c r="G28" s="88">
        <f>G27/$B$7</f>
        <v/>
      </c>
      <c r="H28" s="88">
        <f>H27/$B$7</f>
        <v/>
      </c>
      <c r="I28" s="88">
        <f>I27/$B$7</f>
        <v/>
      </c>
      <c r="J28" s="88">
        <f>J27/$B$7</f>
        <v/>
      </c>
      <c r="K28" s="88">
        <f>K27/$B$7</f>
        <v/>
      </c>
      <c r="L28" s="88">
        <f>L27/$B$7</f>
        <v/>
      </c>
      <c r="M28" s="88">
        <f>M27/$B$7</f>
        <v/>
      </c>
      <c r="N28" s="88">
        <f>N27/$B$7</f>
        <v/>
      </c>
      <c r="O28" s="88">
        <f>O27/$B$7</f>
        <v/>
      </c>
      <c r="P28" s="88">
        <f>P27/$B$7</f>
        <v/>
      </c>
      <c r="Q28" s="88">
        <f>Q27/$B$7</f>
        <v/>
      </c>
      <c r="R28" s="88">
        <f>R27/$B$7</f>
        <v/>
      </c>
      <c r="S28" s="88">
        <f>S27/$B$7</f>
        <v/>
      </c>
      <c r="T28" s="88">
        <f>T27/$B$7</f>
        <v/>
      </c>
      <c r="U28" s="88">
        <f>U27/$B$7</f>
        <v/>
      </c>
      <c r="V28" s="88">
        <f>V27/$B$7</f>
        <v/>
      </c>
      <c r="W28" s="88">
        <f>W27/$B$7</f>
        <v/>
      </c>
      <c r="X28" s="88">
        <f>X27/$B$7</f>
        <v/>
      </c>
      <c r="Y28" s="88">
        <f>Y27/$B$7</f>
        <v/>
      </c>
      <c r="Z28" s="88">
        <f>Z27/$B$7</f>
        <v/>
      </c>
      <c r="AA28" s="88">
        <f>AA27/$B$7</f>
        <v/>
      </c>
      <c r="AB28" s="88">
        <f>AB27/$B$7</f>
        <v/>
      </c>
      <c r="AC28" s="88">
        <f>AC27/$B$7</f>
        <v/>
      </c>
      <c r="AD28" s="88">
        <f>AD27/$B$7</f>
        <v/>
      </c>
      <c r="AE28" s="88">
        <f>AE27/$B$7</f>
        <v/>
      </c>
      <c r="AF28" s="88">
        <f>AF27/$B$7</f>
        <v/>
      </c>
      <c r="AG28" s="88">
        <f>AG27/$B$7</f>
        <v/>
      </c>
      <c r="AH28" s="88">
        <f>AH27/$B$7</f>
        <v/>
      </c>
      <c r="AI28" s="88">
        <f>AI27/$B$7</f>
        <v/>
      </c>
      <c r="AJ28" s="88">
        <f>AJ27/$B$7</f>
        <v/>
      </c>
      <c r="AK28" s="88">
        <f>AK27/$B$7</f>
        <v/>
      </c>
    </row>
    <row r="29" ht="15" customHeight="1" s="46">
      <c r="A29" s="73" t="inlineStr">
        <is>
          <t>Profit and (Loss)</t>
        </is>
      </c>
      <c r="B29" s="89">
        <f>B20-B28</f>
        <v/>
      </c>
      <c r="C29" s="89">
        <f>C20-C28</f>
        <v/>
      </c>
      <c r="D29" s="89">
        <f>D20-D28</f>
        <v/>
      </c>
      <c r="E29" s="89">
        <f>E20-E28</f>
        <v/>
      </c>
      <c r="F29" s="89">
        <f>F20-F28</f>
        <v/>
      </c>
      <c r="G29" s="89">
        <f>G20-G28</f>
        <v/>
      </c>
      <c r="H29" s="89">
        <f>H20-H28</f>
        <v/>
      </c>
      <c r="I29" s="89">
        <f>I20-I28</f>
        <v/>
      </c>
      <c r="J29" s="89">
        <f>J20-J28</f>
        <v/>
      </c>
      <c r="K29" s="89">
        <f>K20-K28</f>
        <v/>
      </c>
      <c r="L29" s="89">
        <f>L20-L28</f>
        <v/>
      </c>
      <c r="M29" s="89">
        <f>M20-M28</f>
        <v/>
      </c>
      <c r="N29" s="89">
        <f>N20-N28</f>
        <v/>
      </c>
      <c r="O29" s="89">
        <f>O20-O28</f>
        <v/>
      </c>
      <c r="P29" s="89">
        <f>P20-P28</f>
        <v/>
      </c>
      <c r="Q29" s="89">
        <f>Q20-Q28</f>
        <v/>
      </c>
      <c r="R29" s="89">
        <f>R20-R28</f>
        <v/>
      </c>
      <c r="S29" s="89">
        <f>S20-S28</f>
        <v/>
      </c>
      <c r="T29" s="89">
        <f>T20-T28</f>
        <v/>
      </c>
      <c r="U29" s="89">
        <f>U20-U28</f>
        <v/>
      </c>
      <c r="V29" s="89">
        <f>V20-V28</f>
        <v/>
      </c>
      <c r="W29" s="89">
        <f>W20-W28</f>
        <v/>
      </c>
      <c r="X29" s="89">
        <f>X20-X28</f>
        <v/>
      </c>
      <c r="Y29" s="89">
        <f>Y20-Y28</f>
        <v/>
      </c>
      <c r="Z29" s="89">
        <f>Z20-Z28</f>
        <v/>
      </c>
      <c r="AA29" s="89">
        <f>AA20-AA28</f>
        <v/>
      </c>
      <c r="AB29" s="89">
        <f>AB20-AB28</f>
        <v/>
      </c>
      <c r="AC29" s="89">
        <f>AC20-AC28</f>
        <v/>
      </c>
      <c r="AD29" s="89">
        <f>AD20-AD28</f>
        <v/>
      </c>
      <c r="AE29" s="89">
        <f>AE20-AE28</f>
        <v/>
      </c>
      <c r="AF29" s="89">
        <f>AF20-AF28</f>
        <v/>
      </c>
      <c r="AG29" s="89">
        <f>AG20-AG28</f>
        <v/>
      </c>
      <c r="AH29" s="89">
        <f>AH20-AH28</f>
        <v/>
      </c>
      <c r="AI29" s="89">
        <f>AI20-AI28</f>
        <v/>
      </c>
      <c r="AJ29" s="89">
        <f>AJ20-AJ28</f>
        <v/>
      </c>
      <c r="AK29" s="89">
        <f>AK20-AK28</f>
        <v/>
      </c>
    </row>
    <row r="30" ht="15" customHeight="1" s="46">
      <c r="A30" s="73" t="inlineStr">
        <is>
          <t>Aggregate Profit and (Loss) − Investment</t>
        </is>
      </c>
      <c r="B30" s="89">
        <f>B29-$B$13</f>
        <v/>
      </c>
      <c r="C30" s="89">
        <f>B30+C29</f>
        <v/>
      </c>
      <c r="D30" s="89">
        <f>C30+D29</f>
        <v/>
      </c>
      <c r="E30" s="89">
        <f>D30+E29</f>
        <v/>
      </c>
      <c r="F30" s="89">
        <f>E30+F29</f>
        <v/>
      </c>
      <c r="G30" s="89">
        <f>F30+G29</f>
        <v/>
      </c>
      <c r="H30" s="89">
        <f>G30+H29</f>
        <v/>
      </c>
      <c r="I30" s="89">
        <f>H30+I29</f>
        <v/>
      </c>
      <c r="J30" s="89">
        <f>I30+J29</f>
        <v/>
      </c>
      <c r="K30" s="89">
        <f>J30+K29</f>
        <v/>
      </c>
      <c r="L30" s="89">
        <f>K30+L29</f>
        <v/>
      </c>
      <c r="M30" s="89">
        <f>L30+M29</f>
        <v/>
      </c>
      <c r="N30" s="89">
        <f>M30+N29</f>
        <v/>
      </c>
      <c r="O30" s="89">
        <f>N30+O29</f>
        <v/>
      </c>
      <c r="P30" s="89">
        <f>O30+P29</f>
        <v/>
      </c>
      <c r="Q30" s="89">
        <f>P30+Q29</f>
        <v/>
      </c>
      <c r="R30" s="89">
        <f>Q30+R29</f>
        <v/>
      </c>
      <c r="S30" s="89">
        <f>R30+S29</f>
        <v/>
      </c>
      <c r="T30" s="89">
        <f>S30+T29</f>
        <v/>
      </c>
      <c r="U30" s="89">
        <f>T30+U29</f>
        <v/>
      </c>
      <c r="V30" s="89">
        <f>U30+V29</f>
        <v/>
      </c>
      <c r="W30" s="89">
        <f>V30+W29</f>
        <v/>
      </c>
      <c r="X30" s="89">
        <f>W30+X29</f>
        <v/>
      </c>
      <c r="Y30" s="89">
        <f>X30+Y29</f>
        <v/>
      </c>
      <c r="Z30" s="89">
        <f>Y30+Z29</f>
        <v/>
      </c>
      <c r="AA30" s="89">
        <f>Z30+AA29</f>
        <v/>
      </c>
      <c r="AB30" s="89">
        <f>AA30+AB29</f>
        <v/>
      </c>
      <c r="AC30" s="89">
        <f>AB30+AC29</f>
        <v/>
      </c>
      <c r="AD30" s="89">
        <f>AC30+AD29</f>
        <v/>
      </c>
      <c r="AE30" s="89">
        <f>AD30+AE29</f>
        <v/>
      </c>
      <c r="AF30" s="89">
        <f>AE30+AF29</f>
        <v/>
      </c>
      <c r="AG30" s="89">
        <f>AF30+AG29</f>
        <v/>
      </c>
      <c r="AH30" s="89">
        <f>AG30+AH29</f>
        <v/>
      </c>
      <c r="AI30" s="89">
        <f>AH30+AI29</f>
        <v/>
      </c>
      <c r="AJ30" s="89">
        <f>AI30+AJ29</f>
        <v/>
      </c>
      <c r="AK30" s="89">
        <f>AJ30+AK29</f>
        <v/>
      </c>
    </row>
    <row r="32" ht="15" customHeight="1" s="46">
      <c r="A32" s="80" t="inlineStr">
        <is>
          <t>Yellow = inputs (edit). Green = formulas (don't overwrite).</t>
        </is>
      </c>
    </row>
  </sheetData>
  <mergeCells count="3">
    <mergeCell ref="B15:M15"/>
    <mergeCell ref="N15:Y15"/>
    <mergeCell ref="Z15:A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he-IL</dc:language>
  <dcterms:created xmlns:dcterms="http://purl.org/dc/terms/" xmlns:xsi="http://www.w3.org/2001/XMLSchema-instance" xsi:type="dcterms:W3CDTF">2026-04-27T13:43:55Z</dcterms:created>
  <dcterms:modified xmlns:dcterms="http://purl.org/dc/terms/" xmlns:xsi="http://www.w3.org/2001/XMLSchema-instance" xsi:type="dcterms:W3CDTF">2026-04-28T18:10:14Z</dcterms:modified>
  <cp:revision>4</cp:revision>
</cp:coreProperties>
</file>