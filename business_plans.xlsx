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mi — Projection" sheetId="1" state="visible" r:id="rId1"/>
    <sheet xmlns:r="http://schemas.openxmlformats.org/officeDocument/2006/relationships" name="Funnel" sheetId="2" state="visible" r:id="rId2"/>
    <sheet xmlns:r="http://schemas.openxmlformats.org/officeDocument/2006/relationships" name="Ami — Book Summary" sheetId="3" state="visible" r:id="rId3"/>
    <sheet xmlns:r="http://schemas.openxmlformats.org/officeDocument/2006/relationships" name="Ami — SaaS Market" sheetId="4" state="visible" r:id="rId4"/>
    <sheet xmlns:r="http://schemas.openxmlformats.org/officeDocument/2006/relationships" name="Ecommerce homework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#,##0;[RED]\-#,##0"/>
    <numFmt numFmtId="165" formatCode="\$#,##0;[RED]&quot;($&quot;#,##0\)"/>
    <numFmt numFmtId="166" formatCode="0.0%"/>
    <numFmt numFmtId="167" formatCode="&quot;$&quot;#,##0;[Red]-&quot;$&quot;#,##0"/>
    <numFmt numFmtId="168" formatCode="#,##0.0"/>
  </numFmts>
  <fonts count="14">
    <font>
      <name val="Arial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Cambria"/>
      <charset val="1"/>
      <family val="0"/>
      <i val="1"/>
      <sz val="11"/>
    </font>
    <font>
      <name val="Cambria"/>
      <charset val="1"/>
      <family val="0"/>
      <b val="1"/>
      <sz val="14"/>
    </font>
    <font>
      <name val="Cambria"/>
      <charset val="1"/>
      <family val="0"/>
      <b val="1"/>
      <sz val="16"/>
    </font>
    <font>
      <name val="Cambria"/>
      <charset val="1"/>
      <family val="0"/>
      <b val="1"/>
      <sz val="13"/>
    </font>
    <font>
      <name val="Calibri"/>
      <charset val="1"/>
      <family val="2"/>
      <color theme="1"/>
      <sz val="11"/>
    </font>
    <font>
      <name val="Cambria"/>
      <charset val="1"/>
      <family val="0"/>
      <i val="1"/>
      <color rgb="FF666666"/>
      <sz val="11"/>
    </font>
    <font>
      <name val="Arial"/>
      <charset val="1"/>
      <family val="2"/>
      <b val="1"/>
      <color theme="1"/>
      <sz val="11"/>
    </font>
    <font>
      <i val="1"/>
    </font>
    <font>
      <b val="1"/>
    </font>
  </fonts>
  <fills count="9">
    <fill>
      <patternFill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E2EFDA"/>
        <bgColor rgb="FFDCE6F1"/>
      </patternFill>
    </fill>
    <fill>
      <patternFill patternType="solid">
        <fgColor rgb="FFFCE4D6"/>
        <bgColor rgb="FFFFF2CC"/>
      </patternFill>
    </fill>
    <fill>
      <patternFill patternType="solid">
        <fgColor rgb="FFDCE6F1"/>
        <bgColor rgb="FFE2EFDA"/>
      </patternFill>
    </fill>
    <fill>
      <patternFill patternType="solid">
        <fgColor rgb="FFB4C7E7"/>
        <bgColor rgb="FFCCCCFF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center" readingOrder="1"/>
    </xf>
    <xf numFmtId="0" fontId="8" fillId="4" borderId="0" applyAlignment="1" pivotButton="0" quotePrefix="0" xfId="0">
      <alignment horizontal="left" vertical="center" readingOrder="1"/>
    </xf>
    <xf numFmtId="0" fontId="4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 readingOrder="1"/>
    </xf>
    <xf numFmtId="0" fontId="0" fillId="0" borderId="0" applyAlignment="1" pivotButton="0" quotePrefix="0" xfId="0">
      <alignment horizontal="general" vertical="bottom" readingOrder="1"/>
    </xf>
    <xf numFmtId="0" fontId="8" fillId="0" borderId="0" applyAlignment="1" pivotButton="0" quotePrefix="0" xfId="0">
      <alignment horizontal="general" vertical="top" wrapText="1" readingOrder="1"/>
    </xf>
    <xf numFmtId="0" fontId="4" fillId="0" borderId="0" applyAlignment="1" pivotButton="0" quotePrefix="0" xfId="0">
      <alignment horizontal="general" vertical="top" wrapText="1" readingOrder="1"/>
    </xf>
    <xf numFmtId="0" fontId="4" fillId="5" borderId="0" applyAlignment="1" pivotButton="0" quotePrefix="0" xfId="0">
      <alignment horizontal="left" vertical="top" wrapText="1" readingOrder="1"/>
    </xf>
    <xf numFmtId="3" fontId="9" fillId="0" borderId="0" applyAlignment="1" pivotButton="0" quotePrefix="0" xfId="0">
      <alignment horizontal="right" vertical="top" readingOrder="1"/>
    </xf>
    <xf numFmtId="0" fontId="4" fillId="0" borderId="0" applyAlignment="1" pivotButton="0" quotePrefix="0" xfId="0">
      <alignment horizontal="general" vertical="bottom"/>
    </xf>
    <xf numFmtId="3" fontId="4" fillId="0" borderId="0" applyAlignment="1" pivotButton="0" quotePrefix="0" xfId="0">
      <alignment horizontal="right" vertical="top" readingOrder="1"/>
    </xf>
    <xf numFmtId="0" fontId="8" fillId="4" borderId="0" applyAlignment="1" pivotButton="0" quotePrefix="0" xfId="0">
      <alignment horizontal="left" vertical="top" wrapText="1" readingOrder="1"/>
    </xf>
    <xf numFmtId="10" fontId="9" fillId="0" borderId="0" applyAlignment="1" pivotButton="0" quotePrefix="0" xfId="0">
      <alignment horizontal="right" vertical="top" readingOrder="1"/>
    </xf>
    <xf numFmtId="0" fontId="9" fillId="0" borderId="0" applyAlignment="1" pivotButton="0" quotePrefix="0" xfId="0">
      <alignment horizontal="right" vertical="top" readingOrder="1"/>
    </xf>
    <xf numFmtId="0" fontId="9" fillId="0" borderId="0" applyAlignment="1" pivotButton="0" quotePrefix="0" xfId="0">
      <alignment horizontal="left" vertical="top" wrapText="1" readingOrder="1"/>
    </xf>
    <xf numFmtId="0" fontId="4" fillId="5" borderId="0" applyAlignment="1" pivotButton="0" quotePrefix="0" xfId="0">
      <alignment horizontal="general" vertical="bottom"/>
    </xf>
    <xf numFmtId="3" fontId="9" fillId="2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0" fontId="9" fillId="2" borderId="0" applyAlignment="1" pivotButton="0" quotePrefix="0" xfId="0">
      <alignment horizontal="general" vertical="bottom"/>
    </xf>
    <xf numFmtId="0" fontId="4" fillId="6" borderId="1" applyAlignment="1" pivotButton="0" quotePrefix="0" xfId="0">
      <alignment horizontal="center" vertical="bottom"/>
    </xf>
    <xf numFmtId="0" fontId="4" fillId="5" borderId="0" applyAlignment="1" pivotButton="0" quotePrefix="0" xfId="0">
      <alignment horizontal="center" vertical="bottom"/>
    </xf>
    <xf numFmtId="164" fontId="9" fillId="2" borderId="0" applyAlignment="1" pivotButton="0" quotePrefix="0" xfId="0">
      <alignment horizontal="general" vertical="bottom"/>
    </xf>
    <xf numFmtId="164" fontId="9" fillId="3" borderId="0" applyAlignment="1" pivotButton="0" quotePrefix="0" xfId="0">
      <alignment horizontal="general" vertical="bottom"/>
    </xf>
    <xf numFmtId="165" fontId="9" fillId="3" borderId="0" applyAlignment="1" pivotButton="0" quotePrefix="0" xfId="0">
      <alignment horizontal="general" vertical="bottom"/>
    </xf>
    <xf numFmtId="165" fontId="4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11" fillId="0" borderId="0" pivotButton="0" quotePrefix="0" xfId="0"/>
    <xf numFmtId="166" fontId="0" fillId="2" borderId="0" applyAlignment="1" pivotButton="0" quotePrefix="0" xfId="0">
      <alignment horizontal="general" vertical="bottom"/>
    </xf>
    <xf numFmtId="167" fontId="0" fillId="2" borderId="0" applyAlignment="1" pivotButton="0" quotePrefix="0" xfId="0">
      <alignment horizontal="general" vertical="bottom"/>
    </xf>
    <xf numFmtId="3" fontId="0" fillId="2" borderId="0" applyAlignment="1" pivotButton="0" quotePrefix="0" xfId="0">
      <alignment horizontal="general" vertical="bottom"/>
    </xf>
    <xf numFmtId="166" fontId="0" fillId="7" borderId="0" pivotButton="0" quotePrefix="0" xfId="0"/>
    <xf numFmtId="3" fontId="0" fillId="7" borderId="0" pivotButton="0" quotePrefix="0" xfId="0"/>
    <xf numFmtId="0" fontId="11" fillId="0" borderId="0" applyAlignment="1" pivotButton="0" quotePrefix="0" xfId="0">
      <alignment horizontal="general" vertical="bottom"/>
    </xf>
    <xf numFmtId="168" fontId="0" fillId="2" borderId="0" applyAlignment="1" pivotButton="0" quotePrefix="0" xfId="0">
      <alignment horizontal="general" vertical="bottom"/>
    </xf>
    <xf numFmtId="168" fontId="0" fillId="3" borderId="0" applyAlignment="1" pivotButton="0" quotePrefix="0" xfId="0">
      <alignment horizontal="general" vertical="bottom"/>
    </xf>
    <xf numFmtId="168" fontId="0" fillId="8" borderId="0" applyAlignment="1" pivotButton="0" quotePrefix="0" xfId="0">
      <alignment horizontal="general" vertical="bottom"/>
    </xf>
    <xf numFmtId="167" fontId="0" fillId="3" borderId="0" applyAlignment="1" pivotButton="0" quotePrefix="0" xfId="0">
      <alignment horizontal="general" vertical="bottom"/>
    </xf>
    <xf numFmtId="168" fontId="11" fillId="8" borderId="0" applyAlignment="1" pivotButton="0" quotePrefix="0" xfId="0">
      <alignment horizontal="general" vertical="bottom"/>
    </xf>
    <xf numFmtId="167" fontId="0" fillId="8" borderId="0" applyAlignment="1" pivotButton="0" quotePrefix="0" xfId="0">
      <alignment horizontal="general" vertical="bottom"/>
    </xf>
    <xf numFmtId="167" fontId="11" fillId="3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center" readingOrder="1"/>
    </xf>
    <xf numFmtId="0" fontId="8" fillId="4" borderId="0" applyAlignment="1" pivotButton="0" quotePrefix="0" xfId="0">
      <alignment horizontal="left" vertical="center" readingOrder="1"/>
    </xf>
    <xf numFmtId="0" fontId="4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 readingOrder="1"/>
    </xf>
    <xf numFmtId="0" fontId="0" fillId="0" borderId="0" applyAlignment="1" pivotButton="0" quotePrefix="0" xfId="0">
      <alignment horizontal="general" vertical="bottom" readingOrder="1"/>
    </xf>
    <xf numFmtId="0" fontId="8" fillId="0" borderId="0" applyAlignment="1" pivotButton="0" quotePrefix="0" xfId="0">
      <alignment horizontal="general" vertical="top" wrapText="1" readingOrder="1"/>
    </xf>
    <xf numFmtId="0" fontId="4" fillId="0" borderId="0" applyAlignment="1" pivotButton="0" quotePrefix="0" xfId="0">
      <alignment horizontal="general" vertical="top" wrapText="1" readingOrder="1"/>
    </xf>
    <xf numFmtId="0" fontId="4" fillId="5" borderId="0" applyAlignment="1" pivotButton="0" quotePrefix="0" xfId="0">
      <alignment horizontal="left" vertical="top" wrapText="1" readingOrder="1"/>
    </xf>
    <xf numFmtId="3" fontId="9" fillId="0" borderId="0" applyAlignment="1" pivotButton="0" quotePrefix="0" xfId="0">
      <alignment horizontal="right" vertical="top" readingOrder="1"/>
    </xf>
    <xf numFmtId="3" fontId="4" fillId="0" borderId="0" applyAlignment="1" pivotButton="0" quotePrefix="0" xfId="0">
      <alignment horizontal="right" vertical="top" readingOrder="1"/>
    </xf>
    <xf numFmtId="0" fontId="8" fillId="4" borderId="0" applyAlignment="1" pivotButton="0" quotePrefix="0" xfId="0">
      <alignment horizontal="left" vertical="top" wrapText="1" readingOrder="1"/>
    </xf>
    <xf numFmtId="10" fontId="9" fillId="0" borderId="0" applyAlignment="1" pivotButton="0" quotePrefix="0" xfId="0">
      <alignment horizontal="right" vertical="top" readingOrder="1"/>
    </xf>
    <xf numFmtId="0" fontId="9" fillId="0" borderId="0" applyAlignment="1" pivotButton="0" quotePrefix="0" xfId="0">
      <alignment horizontal="right" vertical="top" readingOrder="1"/>
    </xf>
    <xf numFmtId="0" fontId="4" fillId="5" borderId="0" applyAlignment="1" pivotButton="0" quotePrefix="0" xfId="0">
      <alignment horizontal="general" vertical="bottom"/>
    </xf>
    <xf numFmtId="3" fontId="9" fillId="2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0" fontId="9" fillId="2" borderId="0" applyAlignment="1" pivotButton="0" quotePrefix="0" xfId="0">
      <alignment horizontal="general" vertical="bottom"/>
    </xf>
    <xf numFmtId="0" fontId="4" fillId="6" borderId="1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0" fontId="4" fillId="5" borderId="0" applyAlignment="1" pivotButton="0" quotePrefix="0" xfId="0">
      <alignment horizontal="center" vertical="bottom"/>
    </xf>
    <xf numFmtId="164" fontId="9" fillId="2" borderId="0" applyAlignment="1" pivotButton="0" quotePrefix="0" xfId="0">
      <alignment horizontal="general" vertical="bottom"/>
    </xf>
    <xf numFmtId="164" fontId="9" fillId="3" borderId="0" applyAlignment="1" pivotButton="0" quotePrefix="0" xfId="0">
      <alignment horizontal="general" vertical="bottom"/>
    </xf>
    <xf numFmtId="165" fontId="9" fillId="3" borderId="0" applyAlignment="1" pivotButton="0" quotePrefix="0" xfId="0">
      <alignment horizontal="general" vertical="bottom"/>
    </xf>
    <xf numFmtId="165" fontId="4" fillId="3" borderId="0" applyAlignment="1" pivotButton="0" quotePrefix="0" xfId="0">
      <alignment horizontal="general" vertical="bottom"/>
    </xf>
    <xf numFmtId="0" fontId="13" fillId="0" borderId="0" pivotButton="0" quotePrefix="0" xfId="0"/>
    <xf numFmtId="167" fontId="0" fillId="7" borderId="0" pivotButton="0" quotePrefix="0" xfId="0"/>
    <xf numFmtId="168" fontId="0" fillId="7" borderId="0" pivotButton="0" quotePrefix="0" xfId="0"/>
    <xf numFmtId="168" fontId="0" fillId="8" borderId="0" pivotButton="0" quotePrefix="0" xfId="0"/>
    <xf numFmtId="167" fontId="0" fillId="8" borderId="0" pivotButton="0" quotePrefix="0" xfId="0"/>
    <xf numFmtId="168" fontId="11" fillId="8" borderId="0" pivotButton="0" quotePrefix="0" xfId="0"/>
    <xf numFmtId="167" fontId="11" fillId="8" borderId="0" pivotButton="0" quotePrefix="0" xfId="0"/>
    <xf numFmtId="0" fontId="12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9"/>
  <sheetViews>
    <sheetView workbookViewId="0">
      <pane xSplit="1" ySplit="24" topLeftCell="B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style="37" min="1" max="1"/>
    <col width="11" customWidth="1" style="37" min="2" max="2"/>
    <col width="50" customWidth="1" style="37" min="3" max="3"/>
    <col width="11" customWidth="1" style="37" min="4" max="4"/>
    <col width="11" customWidth="1" style="37" min="5" max="5"/>
    <col width="11" customWidth="1" style="37" min="6" max="6"/>
    <col width="11" customWidth="1" style="37" min="7" max="7"/>
    <col width="11" customWidth="1" style="37" min="8" max="8"/>
    <col width="11" customWidth="1" style="37" min="9" max="9"/>
    <col width="11" customWidth="1" style="37" min="10" max="10"/>
    <col width="11" customWidth="1" style="37" min="11" max="11"/>
    <col width="11" customWidth="1" style="37" min="12" max="12"/>
    <col width="11" customWidth="1" style="37" min="13" max="13"/>
    <col width="11" customWidth="1" style="37" min="14" max="14"/>
    <col width="11" customWidth="1" style="37" min="15" max="15"/>
    <col width="11" customWidth="1" style="37" min="16" max="16"/>
    <col width="11" customWidth="1" style="37" min="17" max="17"/>
    <col width="11" customWidth="1" style="37" min="18" max="18"/>
    <col width="11" customWidth="1" style="37" min="19" max="19"/>
    <col width="11" customWidth="1" style="37" min="20" max="20"/>
    <col width="11" customWidth="1" style="37" min="21" max="21"/>
    <col width="11" customWidth="1" style="37" min="22" max="22"/>
    <col width="11" customWidth="1" style="37" min="23" max="23"/>
    <col width="11" customWidth="1" style="37" min="24" max="24"/>
    <col width="11" customWidth="1" style="37" min="25" max="25"/>
    <col width="11" customWidth="1" style="37" min="26" max="26"/>
    <col width="11" customWidth="1" style="37" min="27" max="27"/>
    <col width="11" customWidth="1" style="37" min="28" max="28"/>
    <col width="11" customWidth="1" style="37" min="29" max="29"/>
    <col width="11" customWidth="1" style="37" min="30" max="30"/>
    <col width="11" customWidth="1" style="37" min="31" max="31"/>
    <col width="11" customWidth="1" style="37" min="32" max="32"/>
    <col width="11" customWidth="1" style="37" min="33" max="33"/>
    <col width="11" customWidth="1" style="37" min="34" max="34"/>
    <col width="11" customWidth="1" style="37" min="35" max="35"/>
    <col width="11" customWidth="1" style="37" min="36" max="36"/>
    <col width="11" customWidth="1" style="37" min="37" max="37"/>
  </cols>
  <sheetData>
    <row r="1">
      <c r="A1" s="86" t="inlineStr">
        <is>
          <t>ASSUMPTIONS (edit yellow cells)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  <c r="AA1" s="39" t="n"/>
      <c r="AB1" s="39" t="n"/>
      <c r="AC1" s="39" t="n"/>
      <c r="AD1" s="39" t="n"/>
      <c r="AE1" s="39" t="n"/>
      <c r="AF1" s="39" t="n"/>
      <c r="AG1" s="39" t="n"/>
      <c r="AH1" s="39" t="n"/>
      <c r="AI1" s="39" t="n"/>
      <c r="AJ1" s="39" t="n"/>
      <c r="AK1" s="39" t="n"/>
    </row>
    <row r="2">
      <c r="A2" t="inlineStr">
        <is>
          <t>Email list monthly churn</t>
        </is>
      </c>
      <c r="B2" s="43" t="n">
        <v>0.01</v>
      </c>
      <c r="C2" t="inlineStr">
        <is>
          <t>unsubscribes / month</t>
        </is>
      </c>
    </row>
    <row r="3">
      <c r="A3" t="inlineStr">
        <is>
          <t>Cohort price / seat</t>
        </is>
      </c>
      <c r="B3" s="87" t="n">
        <v>5000</v>
      </c>
      <c r="C3" t="inlineStr">
        <is>
          <t>$ — flagship 6-week cohort</t>
        </is>
      </c>
    </row>
    <row r="4">
      <c r="A4" t="inlineStr">
        <is>
          <t>Cohort capacity (max seats / run)</t>
        </is>
      </c>
      <c r="B4" s="44" t="n">
        <v>12</v>
      </c>
      <c r="C4" t="inlineStr">
        <is>
          <t>soft cap; informational only</t>
        </is>
      </c>
    </row>
    <row r="5">
      <c r="A5" t="inlineStr">
        <is>
          <t>Paid challenge — standard ticket</t>
        </is>
      </c>
      <c r="B5" s="87" t="n">
        <v>97</v>
      </c>
      <c r="C5" t="inlineStr">
        <is>
          <t>$ — 5-day pre-cohort GA</t>
        </is>
      </c>
    </row>
    <row r="6">
      <c r="A6" t="inlineStr">
        <is>
          <t>Paid challenge — VIP ticket</t>
        </is>
      </c>
      <c r="B6" s="87" t="n">
        <v>297</v>
      </c>
      <c r="C6" t="inlineStr">
        <is>
          <t>$ — 5-day VIP</t>
        </is>
      </c>
    </row>
    <row r="7">
      <c r="A7" t="inlineStr">
        <is>
          <t>Challenge take-rate (% of email list)</t>
        </is>
      </c>
      <c r="B7" s="43" t="n">
        <v>0.04</v>
      </c>
      <c r="C7" t="inlineStr">
        <is>
          <t>fraction of list buying a challenge ticket on launch</t>
        </is>
      </c>
    </row>
    <row r="8">
      <c r="A8" t="inlineStr">
        <is>
          <t>Challenge VIP share</t>
        </is>
      </c>
      <c r="B8" s="43" t="n">
        <v>0.15</v>
      </c>
      <c r="C8" t="inlineStr">
        <is>
          <t>fraction of challenge buyers picking VIP</t>
        </is>
      </c>
    </row>
    <row r="9">
      <c r="A9" t="inlineStr">
        <is>
          <t>Cohort take-rate (% of challenge)</t>
        </is>
      </c>
      <c r="B9" s="43" t="n">
        <v>0.15</v>
      </c>
      <c r="C9" t="inlineStr">
        <is>
          <t>fraction of attendees becoming cohort</t>
        </is>
      </c>
    </row>
    <row r="10">
      <c r="A10" t="inlineStr">
        <is>
          <t>Warm-network seats per cohort</t>
        </is>
      </c>
      <c r="B10" s="44" t="n">
        <v>2</v>
      </c>
      <c r="C10" t="inlineStr">
        <is>
          <t>seats from LinkedIn DMs / referrals / existing list</t>
        </is>
      </c>
    </row>
    <row r="11">
      <c r="A11" t="inlineStr">
        <is>
          <t>SaaS annual fee / customer</t>
        </is>
      </c>
      <c r="B11" s="87" t="n">
        <v>25000</v>
      </c>
      <c r="C11" t="inlineStr">
        <is>
          <t>$/yr — RE wire-fraud, Phase 2</t>
        </is>
      </c>
    </row>
    <row r="12">
      <c r="A12" t="inlineStr">
        <is>
          <t>SaaS annual attrition</t>
        </is>
      </c>
      <c r="B12" s="43" t="n">
        <v>0.1</v>
      </c>
      <c r="C12" t="inlineStr">
        <is>
          <t>fraction not renewing</t>
        </is>
      </c>
    </row>
    <row r="13">
      <c r="A13" t="inlineStr">
        <is>
          <t>Platform / tooling overhead / mo</t>
        </is>
      </c>
      <c r="B13" s="87" t="n">
        <v>50</v>
      </c>
      <c r="C13" t="inlineStr">
        <is>
          <t>$/month — Listmonk VPS + tools</t>
        </is>
      </c>
    </row>
    <row r="14">
      <c r="A14" t="inlineStr">
        <is>
          <t>Server unit cost / month</t>
        </is>
      </c>
      <c r="B14" s="87" t="n">
        <v>50</v>
      </c>
      <c r="C14" t="inlineStr">
        <is>
          <t>$/month per OVH unit (incl backups)</t>
        </is>
      </c>
    </row>
    <row r="15">
      <c r="A15" t="inlineStr">
        <is>
          <t>Payment plan adoption %</t>
        </is>
      </c>
      <c r="B15" s="43" t="n">
        <v>0.45</v>
      </c>
      <c r="C15" t="inlineStr">
        <is>
          <t>fraction of cohort buyers choosing N-pay</t>
        </is>
      </c>
    </row>
    <row r="16">
      <c r="A16" t="inlineStr">
        <is>
          <t>Payment plan months</t>
        </is>
      </c>
      <c r="B16" s="44" t="n">
        <v>3</v>
      </c>
      <c r="C16" t="inlineStr">
        <is>
          <t>months across which plan is split</t>
        </is>
      </c>
    </row>
    <row r="17">
      <c r="A17" t="inlineStr">
        <is>
          <t>Payment plan price uplift %</t>
        </is>
      </c>
      <c r="B17" s="43" t="n">
        <v>0.05</v>
      </c>
      <c r="C17" t="inlineStr">
        <is>
          <t>small markup vs lump sum</t>
        </is>
      </c>
    </row>
    <row r="18">
      <c r="A18" t="inlineStr">
        <is>
          <t>Card processing fee %</t>
        </is>
      </c>
      <c r="B18" s="43" t="n">
        <v>0.029</v>
      </c>
      <c r="C18" t="inlineStr">
        <is>
          <t>Stripe/Invoice4U typical</t>
        </is>
      </c>
    </row>
    <row r="19">
      <c r="A19" t="inlineStr">
        <is>
          <t>Card processing fee fixed $</t>
        </is>
      </c>
      <c r="B19" s="87" t="n">
        <v>0.3</v>
      </c>
      <c r="C19" t="inlineStr">
        <is>
          <t>per transaction</t>
        </is>
      </c>
    </row>
    <row r="20">
      <c r="A20" t="inlineStr">
        <is>
          <t>Cohort gross margin assumption</t>
        </is>
      </c>
      <c r="B20" s="43" t="n">
        <v>0.92</v>
      </c>
      <c r="C20" t="inlineStr">
        <is>
          <t>after processing + plan uplift offset</t>
        </is>
      </c>
    </row>
    <row r="21"/>
    <row r="22"/>
    <row r="23">
      <c r="A23" s="86" t="inlineStr">
        <is>
          <t>Year</t>
        </is>
      </c>
      <c r="B23" s="39" t="inlineStr">
        <is>
          <t>Year 1 (May 2026 – Apr 2027)</t>
        </is>
      </c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inlineStr">
        <is>
          <t>Year 2 (May 2027 – Apr 2028)</t>
        </is>
      </c>
      <c r="O23" s="39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inlineStr">
        <is>
          <t>Year 3 (May 2028 – Apr 2029)</t>
        </is>
      </c>
      <c r="AA23" s="39" t="n"/>
      <c r="AB23" s="39" t="n"/>
      <c r="AC23" s="39" t="n"/>
      <c r="AD23" s="39" t="n"/>
      <c r="AE23" s="39" t="n"/>
      <c r="AF23" s="39" t="n"/>
      <c r="AG23" s="39" t="n"/>
      <c r="AH23" s="39" t="n"/>
      <c r="AI23" s="39" t="n"/>
      <c r="AJ23" s="39" t="n"/>
      <c r="AK23" s="39" t="n"/>
    </row>
    <row r="24">
      <c r="A24" s="86" t="inlineStr">
        <is>
          <t>Month</t>
        </is>
      </c>
      <c r="B24" s="39" t="inlineStr">
        <is>
          <t>May</t>
        </is>
      </c>
      <c r="C24" s="39" t="inlineStr">
        <is>
          <t>Jun</t>
        </is>
      </c>
      <c r="D24" s="39" t="inlineStr">
        <is>
          <t>Jul</t>
        </is>
      </c>
      <c r="E24" s="39" t="inlineStr">
        <is>
          <t>Aug</t>
        </is>
      </c>
      <c r="F24" s="39" t="inlineStr">
        <is>
          <t>Sep</t>
        </is>
      </c>
      <c r="G24" s="39" t="inlineStr">
        <is>
          <t>Oct</t>
        </is>
      </c>
      <c r="H24" s="39" t="inlineStr">
        <is>
          <t>Nov</t>
        </is>
      </c>
      <c r="I24" s="39" t="inlineStr">
        <is>
          <t>Dec</t>
        </is>
      </c>
      <c r="J24" s="39" t="inlineStr">
        <is>
          <t>Jan</t>
        </is>
      </c>
      <c r="K24" s="39" t="inlineStr">
        <is>
          <t>Feb</t>
        </is>
      </c>
      <c r="L24" s="39" t="inlineStr">
        <is>
          <t>Mar</t>
        </is>
      </c>
      <c r="M24" s="39" t="inlineStr">
        <is>
          <t>Apr</t>
        </is>
      </c>
      <c r="N24" s="39" t="inlineStr">
        <is>
          <t>May</t>
        </is>
      </c>
      <c r="O24" s="39" t="inlineStr">
        <is>
          <t>Jun</t>
        </is>
      </c>
      <c r="P24" s="39" t="inlineStr">
        <is>
          <t>Jul</t>
        </is>
      </c>
      <c r="Q24" s="39" t="inlineStr">
        <is>
          <t>Aug</t>
        </is>
      </c>
      <c r="R24" s="39" t="inlineStr">
        <is>
          <t>Sep</t>
        </is>
      </c>
      <c r="S24" s="39" t="inlineStr">
        <is>
          <t>Oct</t>
        </is>
      </c>
      <c r="T24" s="39" t="inlineStr">
        <is>
          <t>Nov</t>
        </is>
      </c>
      <c r="U24" s="39" t="inlineStr">
        <is>
          <t>Dec</t>
        </is>
      </c>
      <c r="V24" s="39" t="inlineStr">
        <is>
          <t>Jan</t>
        </is>
      </c>
      <c r="W24" s="39" t="inlineStr">
        <is>
          <t>Feb</t>
        </is>
      </c>
      <c r="X24" s="39" t="inlineStr">
        <is>
          <t>Mar</t>
        </is>
      </c>
      <c r="Y24" s="39" t="inlineStr">
        <is>
          <t>Apr</t>
        </is>
      </c>
      <c r="Z24" s="39" t="inlineStr">
        <is>
          <t>May</t>
        </is>
      </c>
      <c r="AA24" s="39" t="inlineStr">
        <is>
          <t>Jun</t>
        </is>
      </c>
      <c r="AB24" s="39" t="inlineStr">
        <is>
          <t>Jul</t>
        </is>
      </c>
      <c r="AC24" s="39" t="inlineStr">
        <is>
          <t>Aug</t>
        </is>
      </c>
      <c r="AD24" s="39" t="inlineStr">
        <is>
          <t>Sep</t>
        </is>
      </c>
      <c r="AE24" s="39" t="inlineStr">
        <is>
          <t>Oct</t>
        </is>
      </c>
      <c r="AF24" s="39" t="inlineStr">
        <is>
          <t>Nov</t>
        </is>
      </c>
      <c r="AG24" s="39" t="inlineStr">
        <is>
          <t>Dec</t>
        </is>
      </c>
      <c r="AH24" s="39" t="inlineStr">
        <is>
          <t>Jan</t>
        </is>
      </c>
      <c r="AI24" s="39" t="inlineStr">
        <is>
          <t>Feb</t>
        </is>
      </c>
      <c r="AJ24" s="39" t="inlineStr">
        <is>
          <t>Mar</t>
        </is>
      </c>
      <c r="AK24" s="39" t="inlineStr">
        <is>
          <t>Apr</t>
        </is>
      </c>
    </row>
    <row r="25">
      <c r="A25" t="inlineStr">
        <is>
          <t>New email subscribers / month</t>
        </is>
      </c>
      <c r="B25" s="88" t="n">
        <v>5</v>
      </c>
      <c r="C25" s="88" t="n">
        <v>10</v>
      </c>
      <c r="D25" s="88" t="n">
        <v>30</v>
      </c>
      <c r="E25" s="88" t="n">
        <v>25</v>
      </c>
      <c r="F25" s="88" t="n">
        <v>30</v>
      </c>
      <c r="G25" s="88" t="n">
        <v>50</v>
      </c>
      <c r="H25" s="88" t="n">
        <v>35</v>
      </c>
      <c r="I25" s="88" t="n">
        <v>35</v>
      </c>
      <c r="J25" s="88" t="n">
        <v>60</v>
      </c>
      <c r="K25" s="88" t="n">
        <v>45</v>
      </c>
      <c r="L25" s="88" t="n">
        <v>50</v>
      </c>
      <c r="M25" s="88" t="n">
        <v>70</v>
      </c>
      <c r="N25" s="88" t="n">
        <v>75</v>
      </c>
      <c r="O25" s="88" t="n">
        <v>80</v>
      </c>
      <c r="P25" s="88" t="n">
        <v>95</v>
      </c>
      <c r="Q25" s="88" t="n">
        <v>85</v>
      </c>
      <c r="R25" s="88" t="n">
        <v>90</v>
      </c>
      <c r="S25" s="88" t="n">
        <v>105</v>
      </c>
      <c r="T25" s="88" t="n">
        <v>95</v>
      </c>
      <c r="U25" s="88" t="n">
        <v>95</v>
      </c>
      <c r="V25" s="88" t="n">
        <v>115</v>
      </c>
      <c r="W25" s="88" t="n">
        <v>105</v>
      </c>
      <c r="X25" s="88" t="n">
        <v>110</v>
      </c>
      <c r="Y25" s="88" t="n">
        <v>125</v>
      </c>
      <c r="Z25" s="88" t="n">
        <v>130</v>
      </c>
      <c r="AA25" s="88" t="n">
        <v>130</v>
      </c>
      <c r="AB25" s="88" t="n">
        <v>150</v>
      </c>
      <c r="AC25" s="88" t="n">
        <v>140</v>
      </c>
      <c r="AD25" s="88" t="n">
        <v>145</v>
      </c>
      <c r="AE25" s="88" t="n">
        <v>160</v>
      </c>
      <c r="AF25" s="88" t="n">
        <v>150</v>
      </c>
      <c r="AG25" s="88" t="n">
        <v>150</v>
      </c>
      <c r="AH25" s="88" t="n">
        <v>170</v>
      </c>
      <c r="AI25" s="88" t="n">
        <v>160</v>
      </c>
      <c r="AJ25" s="88" t="n">
        <v>165</v>
      </c>
      <c r="AK25" s="88" t="n">
        <v>180</v>
      </c>
    </row>
    <row r="26">
      <c r="A26" t="inlineStr">
        <is>
          <t>Email list size</t>
        </is>
      </c>
      <c r="B26" s="89">
        <f>B25</f>
        <v/>
      </c>
      <c r="C26" s="89">
        <f>B26*(1-$B$2)+C25</f>
        <v/>
      </c>
      <c r="D26" s="89">
        <f>C26*(1-$B$2)+D25</f>
        <v/>
      </c>
      <c r="E26" s="89">
        <f>D26*(1-$B$2)+E25</f>
        <v/>
      </c>
      <c r="F26" s="89">
        <f>E26*(1-$B$2)+F25</f>
        <v/>
      </c>
      <c r="G26" s="89">
        <f>F26*(1-$B$2)+G25</f>
        <v/>
      </c>
      <c r="H26" s="89">
        <f>G26*(1-$B$2)+H25</f>
        <v/>
      </c>
      <c r="I26" s="89">
        <f>H26*(1-$B$2)+I25</f>
        <v/>
      </c>
      <c r="J26" s="89">
        <f>I26*(1-$B$2)+J25</f>
        <v/>
      </c>
      <c r="K26" s="89">
        <f>J26*(1-$B$2)+K25</f>
        <v/>
      </c>
      <c r="L26" s="89">
        <f>K26*(1-$B$2)+L25</f>
        <v/>
      </c>
      <c r="M26" s="89">
        <f>L26*(1-$B$2)+M25</f>
        <v/>
      </c>
      <c r="N26" s="89">
        <f>M26*(1-$B$2)+N25</f>
        <v/>
      </c>
      <c r="O26" s="89">
        <f>N26*(1-$B$2)+O25</f>
        <v/>
      </c>
      <c r="P26" s="89">
        <f>O26*(1-$B$2)+P25</f>
        <v/>
      </c>
      <c r="Q26" s="89">
        <f>P26*(1-$B$2)+Q25</f>
        <v/>
      </c>
      <c r="R26" s="89">
        <f>Q26*(1-$B$2)+R25</f>
        <v/>
      </c>
      <c r="S26" s="89">
        <f>R26*(1-$B$2)+S25</f>
        <v/>
      </c>
      <c r="T26" s="89">
        <f>S26*(1-$B$2)+T25</f>
        <v/>
      </c>
      <c r="U26" s="89">
        <f>T26*(1-$B$2)+U25</f>
        <v/>
      </c>
      <c r="V26" s="89">
        <f>U26*(1-$B$2)+V25</f>
        <v/>
      </c>
      <c r="W26" s="89">
        <f>V26*(1-$B$2)+W25</f>
        <v/>
      </c>
      <c r="X26" s="89">
        <f>W26*(1-$B$2)+X25</f>
        <v/>
      </c>
      <c r="Y26" s="89">
        <f>X26*(1-$B$2)+Y25</f>
        <v/>
      </c>
      <c r="Z26" s="89">
        <f>Y26*(1-$B$2)+Z25</f>
        <v/>
      </c>
      <c r="AA26" s="89">
        <f>Z26*(1-$B$2)+AA25</f>
        <v/>
      </c>
      <c r="AB26" s="89">
        <f>AA26*(1-$B$2)+AB25</f>
        <v/>
      </c>
      <c r="AC26" s="89">
        <f>AB26*(1-$B$2)+AC25</f>
        <v/>
      </c>
      <c r="AD26" s="89">
        <f>AC26*(1-$B$2)+AD25</f>
        <v/>
      </c>
      <c r="AE26" s="89">
        <f>AD26*(1-$B$2)+AE25</f>
        <v/>
      </c>
      <c r="AF26" s="89">
        <f>AE26*(1-$B$2)+AF25</f>
        <v/>
      </c>
      <c r="AG26" s="89">
        <f>AF26*(1-$B$2)+AG25</f>
        <v/>
      </c>
      <c r="AH26" s="89">
        <f>AG26*(1-$B$2)+AH25</f>
        <v/>
      </c>
      <c r="AI26" s="89">
        <f>AH26*(1-$B$2)+AI25</f>
        <v/>
      </c>
      <c r="AJ26" s="89">
        <f>AI26*(1-$B$2)+AJ25</f>
        <v/>
      </c>
      <c r="AK26" s="89">
        <f>AJ26*(1-$B$2)+AK25</f>
        <v/>
      </c>
    </row>
    <row r="27">
      <c r="A27" t="inlineStr">
        <is>
          <t>Cohort run month (1 if cohort runs)</t>
        </is>
      </c>
      <c r="B27" s="44" t="n">
        <v>0</v>
      </c>
      <c r="C27" s="44" t="n">
        <v>0</v>
      </c>
      <c r="D27" s="44" t="n">
        <v>1</v>
      </c>
      <c r="E27" s="44" t="n">
        <v>0</v>
      </c>
      <c r="F27" s="44" t="n">
        <v>0</v>
      </c>
      <c r="G27" s="44" t="n">
        <v>1</v>
      </c>
      <c r="H27" s="44" t="n">
        <v>0</v>
      </c>
      <c r="I27" s="44" t="n">
        <v>0</v>
      </c>
      <c r="J27" s="44" t="n">
        <v>1</v>
      </c>
      <c r="K27" s="44" t="n">
        <v>0</v>
      </c>
      <c r="L27" s="44" t="n">
        <v>0</v>
      </c>
      <c r="M27" s="44" t="n">
        <v>1</v>
      </c>
      <c r="N27" s="44" t="n">
        <v>0</v>
      </c>
      <c r="O27" s="44" t="n">
        <v>0</v>
      </c>
      <c r="P27" s="44" t="n">
        <v>1</v>
      </c>
      <c r="Q27" s="44" t="n">
        <v>0</v>
      </c>
      <c r="R27" s="44" t="n">
        <v>0</v>
      </c>
      <c r="S27" s="44" t="n">
        <v>1</v>
      </c>
      <c r="T27" s="44" t="n">
        <v>0</v>
      </c>
      <c r="U27" s="44" t="n">
        <v>0</v>
      </c>
      <c r="V27" s="44" t="n">
        <v>1</v>
      </c>
      <c r="W27" s="44" t="n">
        <v>0</v>
      </c>
      <c r="X27" s="44" t="n">
        <v>0</v>
      </c>
      <c r="Y27" s="44" t="n">
        <v>1</v>
      </c>
      <c r="Z27" s="44" t="n">
        <v>0</v>
      </c>
      <c r="AA27" s="44" t="n">
        <v>0</v>
      </c>
      <c r="AB27" s="44" t="n">
        <v>1</v>
      </c>
      <c r="AC27" s="44" t="n">
        <v>0</v>
      </c>
      <c r="AD27" s="44" t="n">
        <v>0</v>
      </c>
      <c r="AE27" s="44" t="n">
        <v>1</v>
      </c>
      <c r="AF27" s="44" t="n">
        <v>0</v>
      </c>
      <c r="AG27" s="44" t="n">
        <v>0</v>
      </c>
      <c r="AH27" s="44" t="n">
        <v>1</v>
      </c>
      <c r="AI27" s="44" t="n">
        <v>0</v>
      </c>
      <c r="AJ27" s="44" t="n">
        <v>0</v>
      </c>
      <c r="AK27" s="44" t="n">
        <v>1</v>
      </c>
    </row>
    <row r="28">
      <c r="A28" t="inlineStr">
        <is>
          <t>Paid challenge — standard tickets / month (auto)</t>
        </is>
      </c>
      <c r="B28" s="89">
        <f>B26*$B$7*(1-$B$8)*B27</f>
        <v/>
      </c>
      <c r="C28" s="89">
        <f>C26*$B$7*(1-$B$8)*C27</f>
        <v/>
      </c>
      <c r="D28" s="89">
        <f>D26*$B$7*(1-$B$8)*D27</f>
        <v/>
      </c>
      <c r="E28" s="89">
        <f>E26*$B$7*(1-$B$8)*E27</f>
        <v/>
      </c>
      <c r="F28" s="89">
        <f>F26*$B$7*(1-$B$8)*F27</f>
        <v/>
      </c>
      <c r="G28" s="89">
        <f>G26*$B$7*(1-$B$8)*G27</f>
        <v/>
      </c>
      <c r="H28" s="89">
        <f>H26*$B$7*(1-$B$8)*H27</f>
        <v/>
      </c>
      <c r="I28" s="89">
        <f>I26*$B$7*(1-$B$8)*I27</f>
        <v/>
      </c>
      <c r="J28" s="89">
        <f>J26*$B$7*(1-$B$8)*J27</f>
        <v/>
      </c>
      <c r="K28" s="89">
        <f>K26*$B$7*(1-$B$8)*K27</f>
        <v/>
      </c>
      <c r="L28" s="89">
        <f>L26*$B$7*(1-$B$8)*L27</f>
        <v/>
      </c>
      <c r="M28" s="89">
        <f>M26*$B$7*(1-$B$8)*M27</f>
        <v/>
      </c>
      <c r="N28" s="89">
        <f>N26*$B$7*(1-$B$8)*N27</f>
        <v/>
      </c>
      <c r="O28" s="89">
        <f>O26*$B$7*(1-$B$8)*O27</f>
        <v/>
      </c>
      <c r="P28" s="89">
        <f>P26*$B$7*(1-$B$8)*P27</f>
        <v/>
      </c>
      <c r="Q28" s="89">
        <f>Q26*$B$7*(1-$B$8)*Q27</f>
        <v/>
      </c>
      <c r="R28" s="89">
        <f>R26*$B$7*(1-$B$8)*R27</f>
        <v/>
      </c>
      <c r="S28" s="89">
        <f>S26*$B$7*(1-$B$8)*S27</f>
        <v/>
      </c>
      <c r="T28" s="89">
        <f>T26*$B$7*(1-$B$8)*T27</f>
        <v/>
      </c>
      <c r="U28" s="89">
        <f>U26*$B$7*(1-$B$8)*U27</f>
        <v/>
      </c>
      <c r="V28" s="89">
        <f>V26*$B$7*(1-$B$8)*V27</f>
        <v/>
      </c>
      <c r="W28" s="89">
        <f>W26*$B$7*(1-$B$8)*W27</f>
        <v/>
      </c>
      <c r="X28" s="89">
        <f>X26*$B$7*(1-$B$8)*X27</f>
        <v/>
      </c>
      <c r="Y28" s="89">
        <f>Y26*$B$7*(1-$B$8)*Y27</f>
        <v/>
      </c>
      <c r="Z28" s="89">
        <f>Z26*$B$7*(1-$B$8)*Z27</f>
        <v/>
      </c>
      <c r="AA28" s="89">
        <f>AA26*$B$7*(1-$B$8)*AA27</f>
        <v/>
      </c>
      <c r="AB28" s="89">
        <f>AB26*$B$7*(1-$B$8)*AB27</f>
        <v/>
      </c>
      <c r="AC28" s="89">
        <f>AC26*$B$7*(1-$B$8)*AC27</f>
        <v/>
      </c>
      <c r="AD28" s="89">
        <f>AD26*$B$7*(1-$B$8)*AD27</f>
        <v/>
      </c>
      <c r="AE28" s="89">
        <f>AE26*$B$7*(1-$B$8)*AE27</f>
        <v/>
      </c>
      <c r="AF28" s="89">
        <f>AF26*$B$7*(1-$B$8)*AF27</f>
        <v/>
      </c>
      <c r="AG28" s="89">
        <f>AG26*$B$7*(1-$B$8)*AG27</f>
        <v/>
      </c>
      <c r="AH28" s="89">
        <f>AH26*$B$7*(1-$B$8)*AH27</f>
        <v/>
      </c>
      <c r="AI28" s="89">
        <f>AI26*$B$7*(1-$B$8)*AI27</f>
        <v/>
      </c>
      <c r="AJ28" s="89">
        <f>AJ26*$B$7*(1-$B$8)*AJ27</f>
        <v/>
      </c>
      <c r="AK28" s="89">
        <f>AK26*$B$7*(1-$B$8)*AK27</f>
        <v/>
      </c>
    </row>
    <row r="29">
      <c r="A29" t="inlineStr">
        <is>
          <t>Paid challenge — VIP tickets / month (auto)</t>
        </is>
      </c>
      <c r="B29" s="89">
        <f>B26*$B$7*$B$8*B27</f>
        <v/>
      </c>
      <c r="C29" s="89">
        <f>C26*$B$7*$B$8*C27</f>
        <v/>
      </c>
      <c r="D29" s="89">
        <f>D26*$B$7*$B$8*D27</f>
        <v/>
      </c>
      <c r="E29" s="89">
        <f>E26*$B$7*$B$8*E27</f>
        <v/>
      </c>
      <c r="F29" s="89">
        <f>F26*$B$7*$B$8*F27</f>
        <v/>
      </c>
      <c r="G29" s="89">
        <f>G26*$B$7*$B$8*G27</f>
        <v/>
      </c>
      <c r="H29" s="89">
        <f>H26*$B$7*$B$8*H27</f>
        <v/>
      </c>
      <c r="I29" s="89">
        <f>I26*$B$7*$B$8*I27</f>
        <v/>
      </c>
      <c r="J29" s="89">
        <f>J26*$B$7*$B$8*J27</f>
        <v/>
      </c>
      <c r="K29" s="89">
        <f>K26*$B$7*$B$8*K27</f>
        <v/>
      </c>
      <c r="L29" s="89">
        <f>L26*$B$7*$B$8*L27</f>
        <v/>
      </c>
      <c r="M29" s="89">
        <f>M26*$B$7*$B$8*M27</f>
        <v/>
      </c>
      <c r="N29" s="89">
        <f>N26*$B$7*$B$8*N27</f>
        <v/>
      </c>
      <c r="O29" s="89">
        <f>O26*$B$7*$B$8*O27</f>
        <v/>
      </c>
      <c r="P29" s="89">
        <f>P26*$B$7*$B$8*P27</f>
        <v/>
      </c>
      <c r="Q29" s="89">
        <f>Q26*$B$7*$B$8*Q27</f>
        <v/>
      </c>
      <c r="R29" s="89">
        <f>R26*$B$7*$B$8*R27</f>
        <v/>
      </c>
      <c r="S29" s="89">
        <f>S26*$B$7*$B$8*S27</f>
        <v/>
      </c>
      <c r="T29" s="89">
        <f>T26*$B$7*$B$8*T27</f>
        <v/>
      </c>
      <c r="U29" s="89">
        <f>U26*$B$7*$B$8*U27</f>
        <v/>
      </c>
      <c r="V29" s="89">
        <f>V26*$B$7*$B$8*V27</f>
        <v/>
      </c>
      <c r="W29" s="89">
        <f>W26*$B$7*$B$8*W27</f>
        <v/>
      </c>
      <c r="X29" s="89">
        <f>X26*$B$7*$B$8*X27</f>
        <v/>
      </c>
      <c r="Y29" s="89">
        <f>Y26*$B$7*$B$8*Y27</f>
        <v/>
      </c>
      <c r="Z29" s="89">
        <f>Z26*$B$7*$B$8*Z27</f>
        <v/>
      </c>
      <c r="AA29" s="89">
        <f>AA26*$B$7*$B$8*AA27</f>
        <v/>
      </c>
      <c r="AB29" s="89">
        <f>AB26*$B$7*$B$8*AB27</f>
        <v/>
      </c>
      <c r="AC29" s="89">
        <f>AC26*$B$7*$B$8*AC27</f>
        <v/>
      </c>
      <c r="AD29" s="89">
        <f>AD26*$B$7*$B$8*AD27</f>
        <v/>
      </c>
      <c r="AE29" s="89">
        <f>AE26*$B$7*$B$8*AE27</f>
        <v/>
      </c>
      <c r="AF29" s="89">
        <f>AF26*$B$7*$B$8*AF27</f>
        <v/>
      </c>
      <c r="AG29" s="89">
        <f>AG26*$B$7*$B$8*AG27</f>
        <v/>
      </c>
      <c r="AH29" s="89">
        <f>AH26*$B$7*$B$8*AH27</f>
        <v/>
      </c>
      <c r="AI29" s="89">
        <f>AI26*$B$7*$B$8*AI27</f>
        <v/>
      </c>
      <c r="AJ29" s="89">
        <f>AJ26*$B$7*$B$8*AJ27</f>
        <v/>
      </c>
      <c r="AK29" s="89">
        <f>AK26*$B$7*$B$8*AK27</f>
        <v/>
      </c>
    </row>
    <row r="30">
      <c r="A30" t="inlineStr">
        <is>
          <t>Challenge revenue</t>
        </is>
      </c>
      <c r="B30" s="90">
        <f>B28*$B$5+B29*$B$6</f>
        <v/>
      </c>
      <c r="C30" s="90">
        <f>C28*$B$5+C29*$B$6</f>
        <v/>
      </c>
      <c r="D30" s="90">
        <f>D28*$B$5+D29*$B$6</f>
        <v/>
      </c>
      <c r="E30" s="90">
        <f>E28*$B$5+E29*$B$6</f>
        <v/>
      </c>
      <c r="F30" s="90">
        <f>F28*$B$5+F29*$B$6</f>
        <v/>
      </c>
      <c r="G30" s="90">
        <f>G28*$B$5+G29*$B$6</f>
        <v/>
      </c>
      <c r="H30" s="90">
        <f>H28*$B$5+H29*$B$6</f>
        <v/>
      </c>
      <c r="I30" s="90">
        <f>I28*$B$5+I29*$B$6</f>
        <v/>
      </c>
      <c r="J30" s="90">
        <f>J28*$B$5+J29*$B$6</f>
        <v/>
      </c>
      <c r="K30" s="90">
        <f>K28*$B$5+K29*$B$6</f>
        <v/>
      </c>
      <c r="L30" s="90">
        <f>L28*$B$5+L29*$B$6</f>
        <v/>
      </c>
      <c r="M30" s="90">
        <f>M28*$B$5+M29*$B$6</f>
        <v/>
      </c>
      <c r="N30" s="90">
        <f>N28*$B$5+N29*$B$6</f>
        <v/>
      </c>
      <c r="O30" s="90">
        <f>O28*$B$5+O29*$B$6</f>
        <v/>
      </c>
      <c r="P30" s="90">
        <f>P28*$B$5+P29*$B$6</f>
        <v/>
      </c>
      <c r="Q30" s="90">
        <f>Q28*$B$5+Q29*$B$6</f>
        <v/>
      </c>
      <c r="R30" s="90">
        <f>R28*$B$5+R29*$B$6</f>
        <v/>
      </c>
      <c r="S30" s="90">
        <f>S28*$B$5+S29*$B$6</f>
        <v/>
      </c>
      <c r="T30" s="90">
        <f>T28*$B$5+T29*$B$6</f>
        <v/>
      </c>
      <c r="U30" s="90">
        <f>U28*$B$5+U29*$B$6</f>
        <v/>
      </c>
      <c r="V30" s="90">
        <f>V28*$B$5+V29*$B$6</f>
        <v/>
      </c>
      <c r="W30" s="90">
        <f>W28*$B$5+W29*$B$6</f>
        <v/>
      </c>
      <c r="X30" s="90">
        <f>X28*$B$5+X29*$B$6</f>
        <v/>
      </c>
      <c r="Y30" s="90">
        <f>Y28*$B$5+Y29*$B$6</f>
        <v/>
      </c>
      <c r="Z30" s="90">
        <f>Z28*$B$5+Z29*$B$6</f>
        <v/>
      </c>
      <c r="AA30" s="90">
        <f>AA28*$B$5+AA29*$B$6</f>
        <v/>
      </c>
      <c r="AB30" s="90">
        <f>AB28*$B$5+AB29*$B$6</f>
        <v/>
      </c>
      <c r="AC30" s="90">
        <f>AC28*$B$5+AC29*$B$6</f>
        <v/>
      </c>
      <c r="AD30" s="90">
        <f>AD28*$B$5+AD29*$B$6</f>
        <v/>
      </c>
      <c r="AE30" s="90">
        <f>AE28*$B$5+AE29*$B$6</f>
        <v/>
      </c>
      <c r="AF30" s="90">
        <f>AF28*$B$5+AF29*$B$6</f>
        <v/>
      </c>
      <c r="AG30" s="90">
        <f>AG28*$B$5+AG29*$B$6</f>
        <v/>
      </c>
      <c r="AH30" s="90">
        <f>AH28*$B$5+AH29*$B$6</f>
        <v/>
      </c>
      <c r="AI30" s="90">
        <f>AI28*$B$5+AI29*$B$6</f>
        <v/>
      </c>
      <c r="AJ30" s="90">
        <f>AJ28*$B$5+AJ29*$B$6</f>
        <v/>
      </c>
      <c r="AK30" s="90">
        <f>AK28*$B$5+AK29*$B$6</f>
        <v/>
      </c>
    </row>
    <row r="31">
      <c r="A31" s="86" t="inlineStr">
        <is>
          <t>Cohort seats sold this month (auto)</t>
        </is>
      </c>
      <c r="B31" s="91">
        <f>(B28+B29)*$B$9+$B$10*B27</f>
        <v/>
      </c>
      <c r="C31" s="91">
        <f>(C28+C29)*$B$9+$B$10*C27</f>
        <v/>
      </c>
      <c r="D31" s="91">
        <f>(D28+D29)*$B$9+$B$10*D27</f>
        <v/>
      </c>
      <c r="E31" s="91">
        <f>(E28+E29)*$B$9+$B$10*E27</f>
        <v/>
      </c>
      <c r="F31" s="91">
        <f>(F28+F29)*$B$9+$B$10*F27</f>
        <v/>
      </c>
      <c r="G31" s="91">
        <f>(G28+G29)*$B$9+$B$10*G27</f>
        <v/>
      </c>
      <c r="H31" s="91">
        <f>(H28+H29)*$B$9+$B$10*H27</f>
        <v/>
      </c>
      <c r="I31" s="91">
        <f>(I28+I29)*$B$9+$B$10*I27</f>
        <v/>
      </c>
      <c r="J31" s="91">
        <f>(J28+J29)*$B$9+$B$10*J27</f>
        <v/>
      </c>
      <c r="K31" s="91">
        <f>(K28+K29)*$B$9+$B$10*K27</f>
        <v/>
      </c>
      <c r="L31" s="91">
        <f>(L28+L29)*$B$9+$B$10*L27</f>
        <v/>
      </c>
      <c r="M31" s="91">
        <f>(M28+M29)*$B$9+$B$10*M27</f>
        <v/>
      </c>
      <c r="N31" s="91">
        <f>(N28+N29)*$B$9+$B$10*N27</f>
        <v/>
      </c>
      <c r="O31" s="91">
        <f>(O28+O29)*$B$9+$B$10*O27</f>
        <v/>
      </c>
      <c r="P31" s="91">
        <f>(P28+P29)*$B$9+$B$10*P27</f>
        <v/>
      </c>
      <c r="Q31" s="91">
        <f>(Q28+Q29)*$B$9+$B$10*Q27</f>
        <v/>
      </c>
      <c r="R31" s="91">
        <f>(R28+R29)*$B$9+$B$10*R27</f>
        <v/>
      </c>
      <c r="S31" s="91">
        <f>(S28+S29)*$B$9+$B$10*S27</f>
        <v/>
      </c>
      <c r="T31" s="91">
        <f>(T28+T29)*$B$9+$B$10*T27</f>
        <v/>
      </c>
      <c r="U31" s="91">
        <f>(U28+U29)*$B$9+$B$10*U27</f>
        <v/>
      </c>
      <c r="V31" s="91">
        <f>(V28+V29)*$B$9+$B$10*V27</f>
        <v/>
      </c>
      <c r="W31" s="91">
        <f>(W28+W29)*$B$9+$B$10*W27</f>
        <v/>
      </c>
      <c r="X31" s="91">
        <f>(X28+X29)*$B$9+$B$10*X27</f>
        <v/>
      </c>
      <c r="Y31" s="91">
        <f>(Y28+Y29)*$B$9+$B$10*Y27</f>
        <v/>
      </c>
      <c r="Z31" s="91">
        <f>(Z28+Z29)*$B$9+$B$10*Z27</f>
        <v/>
      </c>
      <c r="AA31" s="91">
        <f>(AA28+AA29)*$B$9+$B$10*AA27</f>
        <v/>
      </c>
      <c r="AB31" s="91">
        <f>(AB28+AB29)*$B$9+$B$10*AB27</f>
        <v/>
      </c>
      <c r="AC31" s="91">
        <f>(AC28+AC29)*$B$9+$B$10*AC27</f>
        <v/>
      </c>
      <c r="AD31" s="91">
        <f>(AD28+AD29)*$B$9+$B$10*AD27</f>
        <v/>
      </c>
      <c r="AE31" s="91">
        <f>(AE28+AE29)*$B$9+$B$10*AE27</f>
        <v/>
      </c>
      <c r="AF31" s="91">
        <f>(AF28+AF29)*$B$9+$B$10*AF27</f>
        <v/>
      </c>
      <c r="AG31" s="91">
        <f>(AG28+AG29)*$B$9+$B$10*AG27</f>
        <v/>
      </c>
      <c r="AH31" s="91">
        <f>(AH28+AH29)*$B$9+$B$10*AH27</f>
        <v/>
      </c>
      <c r="AI31" s="91">
        <f>(AI28+AI29)*$B$9+$B$10*AI27</f>
        <v/>
      </c>
      <c r="AJ31" s="91">
        <f>(AJ28+AJ29)*$B$9+$B$10*AJ27</f>
        <v/>
      </c>
      <c r="AK31" s="91">
        <f>(AK28+AK29)*$B$9+$B$10*AK27</f>
        <v/>
      </c>
    </row>
    <row r="32">
      <c r="A32" t="inlineStr">
        <is>
          <t>Cohort lump-sum revenue (this month)</t>
        </is>
      </c>
      <c r="B32" s="90">
        <f>B31*(1-$B$15)*$B$3</f>
        <v/>
      </c>
      <c r="C32" s="90">
        <f>C31*(1-$B$15)*$B$3</f>
        <v/>
      </c>
      <c r="D32" s="90">
        <f>D31*(1-$B$15)*$B$3</f>
        <v/>
      </c>
      <c r="E32" s="90">
        <f>E31*(1-$B$15)*$B$3</f>
        <v/>
      </c>
      <c r="F32" s="90">
        <f>F31*(1-$B$15)*$B$3</f>
        <v/>
      </c>
      <c r="G32" s="90">
        <f>G31*(1-$B$15)*$B$3</f>
        <v/>
      </c>
      <c r="H32" s="90">
        <f>H31*(1-$B$15)*$B$3</f>
        <v/>
      </c>
      <c r="I32" s="90">
        <f>I31*(1-$B$15)*$B$3</f>
        <v/>
      </c>
      <c r="J32" s="90">
        <f>J31*(1-$B$15)*$B$3</f>
        <v/>
      </c>
      <c r="K32" s="90">
        <f>K31*(1-$B$15)*$B$3</f>
        <v/>
      </c>
      <c r="L32" s="90">
        <f>L31*(1-$B$15)*$B$3</f>
        <v/>
      </c>
      <c r="M32" s="90">
        <f>M31*(1-$B$15)*$B$3</f>
        <v/>
      </c>
      <c r="N32" s="90">
        <f>N31*(1-$B$15)*$B$3</f>
        <v/>
      </c>
      <c r="O32" s="90">
        <f>O31*(1-$B$15)*$B$3</f>
        <v/>
      </c>
      <c r="P32" s="90">
        <f>P31*(1-$B$15)*$B$3</f>
        <v/>
      </c>
      <c r="Q32" s="90">
        <f>Q31*(1-$B$15)*$B$3</f>
        <v/>
      </c>
      <c r="R32" s="90">
        <f>R31*(1-$B$15)*$B$3</f>
        <v/>
      </c>
      <c r="S32" s="90">
        <f>S31*(1-$B$15)*$B$3</f>
        <v/>
      </c>
      <c r="T32" s="90">
        <f>T31*(1-$B$15)*$B$3</f>
        <v/>
      </c>
      <c r="U32" s="90">
        <f>U31*(1-$B$15)*$B$3</f>
        <v/>
      </c>
      <c r="V32" s="90">
        <f>V31*(1-$B$15)*$B$3</f>
        <v/>
      </c>
      <c r="W32" s="90">
        <f>W31*(1-$B$15)*$B$3</f>
        <v/>
      </c>
      <c r="X32" s="90">
        <f>X31*(1-$B$15)*$B$3</f>
        <v/>
      </c>
      <c r="Y32" s="90">
        <f>Y31*(1-$B$15)*$B$3</f>
        <v/>
      </c>
      <c r="Z32" s="90">
        <f>Z31*(1-$B$15)*$B$3</f>
        <v/>
      </c>
      <c r="AA32" s="90">
        <f>AA31*(1-$B$15)*$B$3</f>
        <v/>
      </c>
      <c r="AB32" s="90">
        <f>AB31*(1-$B$15)*$B$3</f>
        <v/>
      </c>
      <c r="AC32" s="90">
        <f>AC31*(1-$B$15)*$B$3</f>
        <v/>
      </c>
      <c r="AD32" s="90">
        <f>AD31*(1-$B$15)*$B$3</f>
        <v/>
      </c>
      <c r="AE32" s="90">
        <f>AE31*(1-$B$15)*$B$3</f>
        <v/>
      </c>
      <c r="AF32" s="90">
        <f>AF31*(1-$B$15)*$B$3</f>
        <v/>
      </c>
      <c r="AG32" s="90">
        <f>AG31*(1-$B$15)*$B$3</f>
        <v/>
      </c>
      <c r="AH32" s="90">
        <f>AH31*(1-$B$15)*$B$3</f>
        <v/>
      </c>
      <c r="AI32" s="90">
        <f>AI31*(1-$B$15)*$B$3</f>
        <v/>
      </c>
      <c r="AJ32" s="90">
        <f>AJ31*(1-$B$15)*$B$3</f>
        <v/>
      </c>
      <c r="AK32" s="90">
        <f>AK31*(1-$B$15)*$B$3</f>
        <v/>
      </c>
    </row>
    <row r="33">
      <c r="A33" t="inlineStr">
        <is>
          <t>Cohort plan-installment revenue (this month)</t>
        </is>
      </c>
      <c r="B33" s="90">
        <f>SUMPRODUCT((COLUMN($B$31:B31)&gt;=COLUMN(B31)-$B$16+1)*$B$31:B31)*$B$15*$B$3*(1+$B$17)/$B$16</f>
        <v/>
      </c>
      <c r="C33" s="90">
        <f>SUMPRODUCT((COLUMN($B$31:C31)&gt;=COLUMN(C31)-$B$16+1)*$B$31:C31)*$B$15*$B$3*(1+$B$17)/$B$16</f>
        <v/>
      </c>
      <c r="D33" s="90">
        <f>SUMPRODUCT((COLUMN($B$31:D31)&gt;=COLUMN(D31)-$B$16+1)*$B$31:D31)*$B$15*$B$3*(1+$B$17)/$B$16</f>
        <v/>
      </c>
      <c r="E33" s="90">
        <f>SUMPRODUCT((COLUMN($B$31:E31)&gt;=COLUMN(E31)-$B$16+1)*$B$31:E31)*$B$15*$B$3*(1+$B$17)/$B$16</f>
        <v/>
      </c>
      <c r="F33" s="90">
        <f>SUMPRODUCT((COLUMN($B$31:F31)&gt;=COLUMN(F31)-$B$16+1)*$B$31:F31)*$B$15*$B$3*(1+$B$17)/$B$16</f>
        <v/>
      </c>
      <c r="G33" s="90">
        <f>SUMPRODUCT((COLUMN($B$31:G31)&gt;=COLUMN(G31)-$B$16+1)*$B$31:G31)*$B$15*$B$3*(1+$B$17)/$B$16</f>
        <v/>
      </c>
      <c r="H33" s="90">
        <f>SUMPRODUCT((COLUMN($B$31:H31)&gt;=COLUMN(H31)-$B$16+1)*$B$31:H31)*$B$15*$B$3*(1+$B$17)/$B$16</f>
        <v/>
      </c>
      <c r="I33" s="90">
        <f>SUMPRODUCT((COLUMN($B$31:I31)&gt;=COLUMN(I31)-$B$16+1)*$B$31:I31)*$B$15*$B$3*(1+$B$17)/$B$16</f>
        <v/>
      </c>
      <c r="J33" s="90">
        <f>SUMPRODUCT((COLUMN($B$31:J31)&gt;=COLUMN(J31)-$B$16+1)*$B$31:J31)*$B$15*$B$3*(1+$B$17)/$B$16</f>
        <v/>
      </c>
      <c r="K33" s="90">
        <f>SUMPRODUCT((COLUMN($B$31:K31)&gt;=COLUMN(K31)-$B$16+1)*$B$31:K31)*$B$15*$B$3*(1+$B$17)/$B$16</f>
        <v/>
      </c>
      <c r="L33" s="90">
        <f>SUMPRODUCT((COLUMN($B$31:L31)&gt;=COLUMN(L31)-$B$16+1)*$B$31:L31)*$B$15*$B$3*(1+$B$17)/$B$16</f>
        <v/>
      </c>
      <c r="M33" s="90">
        <f>SUMPRODUCT((COLUMN($B$31:M31)&gt;=COLUMN(M31)-$B$16+1)*$B$31:M31)*$B$15*$B$3*(1+$B$17)/$B$16</f>
        <v/>
      </c>
      <c r="N33" s="90">
        <f>SUMPRODUCT((COLUMN($B$31:N31)&gt;=COLUMN(N31)-$B$16+1)*$B$31:N31)*$B$15*$B$3*(1+$B$17)/$B$16</f>
        <v/>
      </c>
      <c r="O33" s="90">
        <f>SUMPRODUCT((COLUMN($B$31:O31)&gt;=COLUMN(O31)-$B$16+1)*$B$31:O31)*$B$15*$B$3*(1+$B$17)/$B$16</f>
        <v/>
      </c>
      <c r="P33" s="90">
        <f>SUMPRODUCT((COLUMN($B$31:P31)&gt;=COLUMN(P31)-$B$16+1)*$B$31:P31)*$B$15*$B$3*(1+$B$17)/$B$16</f>
        <v/>
      </c>
      <c r="Q33" s="90">
        <f>SUMPRODUCT((COLUMN($B$31:Q31)&gt;=COLUMN(Q31)-$B$16+1)*$B$31:Q31)*$B$15*$B$3*(1+$B$17)/$B$16</f>
        <v/>
      </c>
      <c r="R33" s="90">
        <f>SUMPRODUCT((COLUMN($B$31:R31)&gt;=COLUMN(R31)-$B$16+1)*$B$31:R31)*$B$15*$B$3*(1+$B$17)/$B$16</f>
        <v/>
      </c>
      <c r="S33" s="90">
        <f>SUMPRODUCT((COLUMN($B$31:S31)&gt;=COLUMN(S31)-$B$16+1)*$B$31:S31)*$B$15*$B$3*(1+$B$17)/$B$16</f>
        <v/>
      </c>
      <c r="T33" s="90">
        <f>SUMPRODUCT((COLUMN($B$31:T31)&gt;=COLUMN(T31)-$B$16+1)*$B$31:T31)*$B$15*$B$3*(1+$B$17)/$B$16</f>
        <v/>
      </c>
      <c r="U33" s="90">
        <f>SUMPRODUCT((COLUMN($B$31:U31)&gt;=COLUMN(U31)-$B$16+1)*$B$31:U31)*$B$15*$B$3*(1+$B$17)/$B$16</f>
        <v/>
      </c>
      <c r="V33" s="90">
        <f>SUMPRODUCT((COLUMN($B$31:V31)&gt;=COLUMN(V31)-$B$16+1)*$B$31:V31)*$B$15*$B$3*(1+$B$17)/$B$16</f>
        <v/>
      </c>
      <c r="W33" s="90">
        <f>SUMPRODUCT((COLUMN($B$31:W31)&gt;=COLUMN(W31)-$B$16+1)*$B$31:W31)*$B$15*$B$3*(1+$B$17)/$B$16</f>
        <v/>
      </c>
      <c r="X33" s="90">
        <f>SUMPRODUCT((COLUMN($B$31:X31)&gt;=COLUMN(X31)-$B$16+1)*$B$31:X31)*$B$15*$B$3*(1+$B$17)/$B$16</f>
        <v/>
      </c>
      <c r="Y33" s="90">
        <f>SUMPRODUCT((COLUMN($B$31:Y31)&gt;=COLUMN(Y31)-$B$16+1)*$B$31:Y31)*$B$15*$B$3*(1+$B$17)/$B$16</f>
        <v/>
      </c>
      <c r="Z33" s="90">
        <f>SUMPRODUCT((COLUMN($B$31:Z31)&gt;=COLUMN(Z31)-$B$16+1)*$B$31:Z31)*$B$15*$B$3*(1+$B$17)/$B$16</f>
        <v/>
      </c>
      <c r="AA33" s="90">
        <f>SUMPRODUCT((COLUMN($B$31:AA31)&gt;=COLUMN(AA31)-$B$16+1)*$B$31:AA31)*$B$15*$B$3*(1+$B$17)/$B$16</f>
        <v/>
      </c>
      <c r="AB33" s="90">
        <f>SUMPRODUCT((COLUMN($B$31:AB31)&gt;=COLUMN(AB31)-$B$16+1)*$B$31:AB31)*$B$15*$B$3*(1+$B$17)/$B$16</f>
        <v/>
      </c>
      <c r="AC33" s="90">
        <f>SUMPRODUCT((COLUMN($B$31:AC31)&gt;=COLUMN(AC31)-$B$16+1)*$B$31:AC31)*$B$15*$B$3*(1+$B$17)/$B$16</f>
        <v/>
      </c>
      <c r="AD33" s="90">
        <f>SUMPRODUCT((COLUMN($B$31:AD31)&gt;=COLUMN(AD31)-$B$16+1)*$B$31:AD31)*$B$15*$B$3*(1+$B$17)/$B$16</f>
        <v/>
      </c>
      <c r="AE33" s="90">
        <f>SUMPRODUCT((COLUMN($B$31:AE31)&gt;=COLUMN(AE31)-$B$16+1)*$B$31:AE31)*$B$15*$B$3*(1+$B$17)/$B$16</f>
        <v/>
      </c>
      <c r="AF33" s="90">
        <f>SUMPRODUCT((COLUMN($B$31:AF31)&gt;=COLUMN(AF31)-$B$16+1)*$B$31:AF31)*$B$15*$B$3*(1+$B$17)/$B$16</f>
        <v/>
      </c>
      <c r="AG33" s="90">
        <f>SUMPRODUCT((COLUMN($B$31:AG31)&gt;=COLUMN(AG31)-$B$16+1)*$B$31:AG31)*$B$15*$B$3*(1+$B$17)/$B$16</f>
        <v/>
      </c>
      <c r="AH33" s="90">
        <f>SUMPRODUCT((COLUMN($B$31:AH31)&gt;=COLUMN(AH31)-$B$16+1)*$B$31:AH31)*$B$15*$B$3*(1+$B$17)/$B$16</f>
        <v/>
      </c>
      <c r="AI33" s="90">
        <f>SUMPRODUCT((COLUMN($B$31:AI31)&gt;=COLUMN(AI31)-$B$16+1)*$B$31:AI31)*$B$15*$B$3*(1+$B$17)/$B$16</f>
        <v/>
      </c>
      <c r="AJ33" s="90">
        <f>SUMPRODUCT((COLUMN($B$31:AJ31)&gt;=COLUMN(AJ31)-$B$16+1)*$B$31:AJ31)*$B$15*$B$3*(1+$B$17)/$B$16</f>
        <v/>
      </c>
      <c r="AK33" s="90">
        <f>SUMPRODUCT((COLUMN($B$31:AK31)&gt;=COLUMN(AK31)-$B$16+1)*$B$31:AK31)*$B$15*$B$3*(1+$B$17)/$B$16</f>
        <v/>
      </c>
    </row>
    <row r="34">
      <c r="A34" t="inlineStr">
        <is>
          <t>Cohort revenue (lump + plan)</t>
        </is>
      </c>
      <c r="B34" s="90">
        <f>B32+B33</f>
        <v/>
      </c>
      <c r="C34" s="90">
        <f>C32+C33</f>
        <v/>
      </c>
      <c r="D34" s="90">
        <f>D32+D33</f>
        <v/>
      </c>
      <c r="E34" s="90">
        <f>E32+E33</f>
        <v/>
      </c>
      <c r="F34" s="90">
        <f>F32+F33</f>
        <v/>
      </c>
      <c r="G34" s="90">
        <f>G32+G33</f>
        <v/>
      </c>
      <c r="H34" s="90">
        <f>H32+H33</f>
        <v/>
      </c>
      <c r="I34" s="90">
        <f>I32+I33</f>
        <v/>
      </c>
      <c r="J34" s="90">
        <f>J32+J33</f>
        <v/>
      </c>
      <c r="K34" s="90">
        <f>K32+K33</f>
        <v/>
      </c>
      <c r="L34" s="90">
        <f>L32+L33</f>
        <v/>
      </c>
      <c r="M34" s="90">
        <f>M32+M33</f>
        <v/>
      </c>
      <c r="N34" s="90">
        <f>N32+N33</f>
        <v/>
      </c>
      <c r="O34" s="90">
        <f>O32+O33</f>
        <v/>
      </c>
      <c r="P34" s="90">
        <f>P32+P33</f>
        <v/>
      </c>
      <c r="Q34" s="90">
        <f>Q32+Q33</f>
        <v/>
      </c>
      <c r="R34" s="90">
        <f>R32+R33</f>
        <v/>
      </c>
      <c r="S34" s="90">
        <f>S32+S33</f>
        <v/>
      </c>
      <c r="T34" s="90">
        <f>T32+T33</f>
        <v/>
      </c>
      <c r="U34" s="90">
        <f>U32+U33</f>
        <v/>
      </c>
      <c r="V34" s="90">
        <f>V32+V33</f>
        <v/>
      </c>
      <c r="W34" s="90">
        <f>W32+W33</f>
        <v/>
      </c>
      <c r="X34" s="90">
        <f>X32+X33</f>
        <v/>
      </c>
      <c r="Y34" s="90">
        <f>Y32+Y33</f>
        <v/>
      </c>
      <c r="Z34" s="90">
        <f>Z32+Z33</f>
        <v/>
      </c>
      <c r="AA34" s="90">
        <f>AA32+AA33</f>
        <v/>
      </c>
      <c r="AB34" s="90">
        <f>AB32+AB33</f>
        <v/>
      </c>
      <c r="AC34" s="90">
        <f>AC32+AC33</f>
        <v/>
      </c>
      <c r="AD34" s="90">
        <f>AD32+AD33</f>
        <v/>
      </c>
      <c r="AE34" s="90">
        <f>AE32+AE33</f>
        <v/>
      </c>
      <c r="AF34" s="90">
        <f>AF32+AF33</f>
        <v/>
      </c>
      <c r="AG34" s="90">
        <f>AG32+AG33</f>
        <v/>
      </c>
      <c r="AH34" s="90">
        <f>AH32+AH33</f>
        <v/>
      </c>
      <c r="AI34" s="90">
        <f>AI32+AI33</f>
        <v/>
      </c>
      <c r="AJ34" s="90">
        <f>AJ32+AJ33</f>
        <v/>
      </c>
      <c r="AK34" s="90">
        <f>AK32+AK33</f>
        <v/>
      </c>
    </row>
    <row r="35">
      <c r="A35" t="inlineStr">
        <is>
          <t>New SaaS customers / month</t>
        </is>
      </c>
      <c r="B35" s="88" t="n">
        <v>0</v>
      </c>
      <c r="C35" s="88" t="n">
        <v>0</v>
      </c>
      <c r="D35" s="88" t="n">
        <v>0</v>
      </c>
      <c r="E35" s="88" t="n">
        <v>0</v>
      </c>
      <c r="F35" s="88" t="n">
        <v>0</v>
      </c>
      <c r="G35" s="88" t="n">
        <v>0</v>
      </c>
      <c r="H35" s="88" t="n">
        <v>0</v>
      </c>
      <c r="I35" s="88" t="n">
        <v>0</v>
      </c>
      <c r="J35" s="88" t="n">
        <v>1</v>
      </c>
      <c r="K35" s="88" t="n">
        <v>0</v>
      </c>
      <c r="L35" s="88" t="n">
        <v>0</v>
      </c>
      <c r="M35" s="88" t="n">
        <v>1</v>
      </c>
      <c r="N35" s="88" t="n">
        <v>0</v>
      </c>
      <c r="O35" s="88" t="n">
        <v>0</v>
      </c>
      <c r="P35" s="88" t="n">
        <v>2</v>
      </c>
      <c r="Q35" s="88" t="n">
        <v>0</v>
      </c>
      <c r="R35" s="88" t="n">
        <v>0</v>
      </c>
      <c r="S35" s="88" t="n">
        <v>2</v>
      </c>
      <c r="T35" s="88" t="n">
        <v>0</v>
      </c>
      <c r="U35" s="88" t="n">
        <v>0</v>
      </c>
      <c r="V35" s="88" t="n">
        <v>2</v>
      </c>
      <c r="W35" s="88" t="n">
        <v>0</v>
      </c>
      <c r="X35" s="88" t="n">
        <v>0</v>
      </c>
      <c r="Y35" s="88" t="n">
        <v>3</v>
      </c>
      <c r="Z35" s="88" t="n">
        <v>0</v>
      </c>
      <c r="AA35" s="88" t="n">
        <v>0</v>
      </c>
      <c r="AB35" s="88" t="n">
        <v>3</v>
      </c>
      <c r="AC35" s="88" t="n">
        <v>0</v>
      </c>
      <c r="AD35" s="88" t="n">
        <v>0</v>
      </c>
      <c r="AE35" s="88" t="n">
        <v>3</v>
      </c>
      <c r="AF35" s="88" t="n">
        <v>0</v>
      </c>
      <c r="AG35" s="88" t="n">
        <v>0</v>
      </c>
      <c r="AH35" s="88" t="n">
        <v>3</v>
      </c>
      <c r="AI35" s="88" t="n">
        <v>0</v>
      </c>
      <c r="AJ35" s="88" t="n">
        <v>0</v>
      </c>
      <c r="AK35" s="88" t="n">
        <v>3</v>
      </c>
    </row>
    <row r="36">
      <c r="A36" t="inlineStr">
        <is>
          <t>Total active SaaS customers</t>
        </is>
      </c>
      <c r="B36" s="89">
        <f>B35</f>
        <v/>
      </c>
      <c r="C36" s="89">
        <f>B36*(1-$B$12)^(1/12)+C35</f>
        <v/>
      </c>
      <c r="D36" s="89">
        <f>C36*(1-$B$12)^(1/12)+D35</f>
        <v/>
      </c>
      <c r="E36" s="89">
        <f>D36*(1-$B$12)^(1/12)+E35</f>
        <v/>
      </c>
      <c r="F36" s="89">
        <f>E36*(1-$B$12)^(1/12)+F35</f>
        <v/>
      </c>
      <c r="G36" s="89">
        <f>F36*(1-$B$12)^(1/12)+G35</f>
        <v/>
      </c>
      <c r="H36" s="89">
        <f>G36*(1-$B$12)^(1/12)+H35</f>
        <v/>
      </c>
      <c r="I36" s="89">
        <f>H36*(1-$B$12)^(1/12)+I35</f>
        <v/>
      </c>
      <c r="J36" s="89">
        <f>I36*(1-$B$12)^(1/12)+J35</f>
        <v/>
      </c>
      <c r="K36" s="89">
        <f>J36*(1-$B$12)^(1/12)+K35</f>
        <v/>
      </c>
      <c r="L36" s="89">
        <f>K36*(1-$B$12)^(1/12)+L35</f>
        <v/>
      </c>
      <c r="M36" s="89">
        <f>L36*(1-$B$12)^(1/12)+M35</f>
        <v/>
      </c>
      <c r="N36" s="89">
        <f>M36*(1-$B$12)^(1/12)+N35</f>
        <v/>
      </c>
      <c r="O36" s="89">
        <f>N36*(1-$B$12)^(1/12)+O35</f>
        <v/>
      </c>
      <c r="P36" s="89">
        <f>O36*(1-$B$12)^(1/12)+P35</f>
        <v/>
      </c>
      <c r="Q36" s="89">
        <f>P36*(1-$B$12)^(1/12)+Q35</f>
        <v/>
      </c>
      <c r="R36" s="89">
        <f>Q36*(1-$B$12)^(1/12)+R35</f>
        <v/>
      </c>
      <c r="S36" s="89">
        <f>R36*(1-$B$12)^(1/12)+S35</f>
        <v/>
      </c>
      <c r="T36" s="89">
        <f>S36*(1-$B$12)^(1/12)+T35</f>
        <v/>
      </c>
      <c r="U36" s="89">
        <f>T36*(1-$B$12)^(1/12)+U35</f>
        <v/>
      </c>
      <c r="V36" s="89">
        <f>U36*(1-$B$12)^(1/12)+V35</f>
        <v/>
      </c>
      <c r="W36" s="89">
        <f>V36*(1-$B$12)^(1/12)+W35</f>
        <v/>
      </c>
      <c r="X36" s="89">
        <f>W36*(1-$B$12)^(1/12)+X35</f>
        <v/>
      </c>
      <c r="Y36" s="89">
        <f>X36*(1-$B$12)^(1/12)+Y35</f>
        <v/>
      </c>
      <c r="Z36" s="89">
        <f>Y36*(1-$B$12)^(1/12)+Z35</f>
        <v/>
      </c>
      <c r="AA36" s="89">
        <f>Z36*(1-$B$12)^(1/12)+AA35</f>
        <v/>
      </c>
      <c r="AB36" s="89">
        <f>AA36*(1-$B$12)^(1/12)+AB35</f>
        <v/>
      </c>
      <c r="AC36" s="89">
        <f>AB36*(1-$B$12)^(1/12)+AC35</f>
        <v/>
      </c>
      <c r="AD36" s="89">
        <f>AC36*(1-$B$12)^(1/12)+AD35</f>
        <v/>
      </c>
      <c r="AE36" s="89">
        <f>AD36*(1-$B$12)^(1/12)+AE35</f>
        <v/>
      </c>
      <c r="AF36" s="89">
        <f>AE36*(1-$B$12)^(1/12)+AF35</f>
        <v/>
      </c>
      <c r="AG36" s="89">
        <f>AF36*(1-$B$12)^(1/12)+AG35</f>
        <v/>
      </c>
      <c r="AH36" s="89">
        <f>AG36*(1-$B$12)^(1/12)+AH35</f>
        <v/>
      </c>
      <c r="AI36" s="89">
        <f>AH36*(1-$B$12)^(1/12)+AI35</f>
        <v/>
      </c>
      <c r="AJ36" s="89">
        <f>AI36*(1-$B$12)^(1/12)+AJ35</f>
        <v/>
      </c>
      <c r="AK36" s="89">
        <f>AJ36*(1-$B$12)^(1/12)+AK35</f>
        <v/>
      </c>
    </row>
    <row r="37">
      <c r="A37" t="inlineStr">
        <is>
          <t>SaaS revenue (monthly recognition)</t>
        </is>
      </c>
      <c r="B37" s="90">
        <f>B36*$B$11/12</f>
        <v/>
      </c>
      <c r="C37" s="90">
        <f>C36*$B$11/12</f>
        <v/>
      </c>
      <c r="D37" s="90">
        <f>D36*$B$11/12</f>
        <v/>
      </c>
      <c r="E37" s="90">
        <f>E36*$B$11/12</f>
        <v/>
      </c>
      <c r="F37" s="90">
        <f>F36*$B$11/12</f>
        <v/>
      </c>
      <c r="G37" s="90">
        <f>G36*$B$11/12</f>
        <v/>
      </c>
      <c r="H37" s="90">
        <f>H36*$B$11/12</f>
        <v/>
      </c>
      <c r="I37" s="90">
        <f>I36*$B$11/12</f>
        <v/>
      </c>
      <c r="J37" s="90">
        <f>J36*$B$11/12</f>
        <v/>
      </c>
      <c r="K37" s="90">
        <f>K36*$B$11/12</f>
        <v/>
      </c>
      <c r="L37" s="90">
        <f>L36*$B$11/12</f>
        <v/>
      </c>
      <c r="M37" s="90">
        <f>M36*$B$11/12</f>
        <v/>
      </c>
      <c r="N37" s="90">
        <f>N36*$B$11/12</f>
        <v/>
      </c>
      <c r="O37" s="90">
        <f>O36*$B$11/12</f>
        <v/>
      </c>
      <c r="P37" s="90">
        <f>P36*$B$11/12</f>
        <v/>
      </c>
      <c r="Q37" s="90">
        <f>Q36*$B$11/12</f>
        <v/>
      </c>
      <c r="R37" s="90">
        <f>R36*$B$11/12</f>
        <v/>
      </c>
      <c r="S37" s="90">
        <f>S36*$B$11/12</f>
        <v/>
      </c>
      <c r="T37" s="90">
        <f>T36*$B$11/12</f>
        <v/>
      </c>
      <c r="U37" s="90">
        <f>U36*$B$11/12</f>
        <v/>
      </c>
      <c r="V37" s="90">
        <f>V36*$B$11/12</f>
        <v/>
      </c>
      <c r="W37" s="90">
        <f>W36*$B$11/12</f>
        <v/>
      </c>
      <c r="X37" s="90">
        <f>X36*$B$11/12</f>
        <v/>
      </c>
      <c r="Y37" s="90">
        <f>Y36*$B$11/12</f>
        <v/>
      </c>
      <c r="Z37" s="90">
        <f>Z36*$B$11/12</f>
        <v/>
      </c>
      <c r="AA37" s="90">
        <f>AA36*$B$11/12</f>
        <v/>
      </c>
      <c r="AB37" s="90">
        <f>AB36*$B$11/12</f>
        <v/>
      </c>
      <c r="AC37" s="90">
        <f>AC36*$B$11/12</f>
        <v/>
      </c>
      <c r="AD37" s="90">
        <f>AD36*$B$11/12</f>
        <v/>
      </c>
      <c r="AE37" s="90">
        <f>AE36*$B$11/12</f>
        <v/>
      </c>
      <c r="AF37" s="90">
        <f>AF36*$B$11/12</f>
        <v/>
      </c>
      <c r="AG37" s="90">
        <f>AG36*$B$11/12</f>
        <v/>
      </c>
      <c r="AH37" s="90">
        <f>AH36*$B$11/12</f>
        <v/>
      </c>
      <c r="AI37" s="90">
        <f>AI36*$B$11/12</f>
        <v/>
      </c>
      <c r="AJ37" s="90">
        <f>AJ36*$B$11/12</f>
        <v/>
      </c>
      <c r="AK37" s="90">
        <f>AK36*$B$11/12</f>
        <v/>
      </c>
    </row>
    <row r="38">
      <c r="A38" s="86" t="inlineStr">
        <is>
          <t>TOTAL REVENUE</t>
        </is>
      </c>
      <c r="B38" s="92">
        <f>B30+B34+B37</f>
        <v/>
      </c>
      <c r="C38" s="92">
        <f>C30+C34+C37</f>
        <v/>
      </c>
      <c r="D38" s="92">
        <f>D30+D34+D37</f>
        <v/>
      </c>
      <c r="E38" s="92">
        <f>E30+E34+E37</f>
        <v/>
      </c>
      <c r="F38" s="92">
        <f>F30+F34+F37</f>
        <v/>
      </c>
      <c r="G38" s="92">
        <f>G30+G34+G37</f>
        <v/>
      </c>
      <c r="H38" s="92">
        <f>H30+H34+H37</f>
        <v/>
      </c>
      <c r="I38" s="92">
        <f>I30+I34+I37</f>
        <v/>
      </c>
      <c r="J38" s="92">
        <f>J30+J34+J37</f>
        <v/>
      </c>
      <c r="K38" s="92">
        <f>K30+K34+K37</f>
        <v/>
      </c>
      <c r="L38" s="92">
        <f>L30+L34+L37</f>
        <v/>
      </c>
      <c r="M38" s="92">
        <f>M30+M34+M37</f>
        <v/>
      </c>
      <c r="N38" s="92">
        <f>N30+N34+N37</f>
        <v/>
      </c>
      <c r="O38" s="92">
        <f>O30+O34+O37</f>
        <v/>
      </c>
      <c r="P38" s="92">
        <f>P30+P34+P37</f>
        <v/>
      </c>
      <c r="Q38" s="92">
        <f>Q30+Q34+Q37</f>
        <v/>
      </c>
      <c r="R38" s="92">
        <f>R30+R34+R37</f>
        <v/>
      </c>
      <c r="S38" s="92">
        <f>S30+S34+S37</f>
        <v/>
      </c>
      <c r="T38" s="92">
        <f>T30+T34+T37</f>
        <v/>
      </c>
      <c r="U38" s="92">
        <f>U30+U34+U37</f>
        <v/>
      </c>
      <c r="V38" s="92">
        <f>V30+V34+V37</f>
        <v/>
      </c>
      <c r="W38" s="92">
        <f>W30+W34+W37</f>
        <v/>
      </c>
      <c r="X38" s="92">
        <f>X30+X34+X37</f>
        <v/>
      </c>
      <c r="Y38" s="92">
        <f>Y30+Y34+Y37</f>
        <v/>
      </c>
      <c r="Z38" s="92">
        <f>Z30+Z34+Z37</f>
        <v/>
      </c>
      <c r="AA38" s="92">
        <f>AA30+AA34+AA37</f>
        <v/>
      </c>
      <c r="AB38" s="92">
        <f>AB30+AB34+AB37</f>
        <v/>
      </c>
      <c r="AC38" s="92">
        <f>AC30+AC34+AC37</f>
        <v/>
      </c>
      <c r="AD38" s="92">
        <f>AD30+AD34+AD37</f>
        <v/>
      </c>
      <c r="AE38" s="92">
        <f>AE30+AE34+AE37</f>
        <v/>
      </c>
      <c r="AF38" s="92">
        <f>AF30+AF34+AF37</f>
        <v/>
      </c>
      <c r="AG38" s="92">
        <f>AG30+AG34+AG37</f>
        <v/>
      </c>
      <c r="AH38" s="92">
        <f>AH30+AH34+AH37</f>
        <v/>
      </c>
      <c r="AI38" s="92">
        <f>AI30+AI34+AI37</f>
        <v/>
      </c>
      <c r="AJ38" s="92">
        <f>AJ30+AJ34+AJ37</f>
        <v/>
      </c>
      <c r="AK38" s="92">
        <f>AK30+AK34+AK37</f>
        <v/>
      </c>
    </row>
    <row r="39">
      <c r="A39" t="inlineStr">
        <is>
          <t>Card processing fees (est.)</t>
        </is>
      </c>
      <c r="B39" s="90">
        <f>B38*$B$18+(B28+B29+B31)*$B$19</f>
        <v/>
      </c>
      <c r="C39" s="90">
        <f>C38*$B$18+(C28+C29+C31)*$B$19</f>
        <v/>
      </c>
      <c r="D39" s="90">
        <f>D38*$B$18+(D28+D29+D31)*$B$19</f>
        <v/>
      </c>
      <c r="E39" s="90">
        <f>E38*$B$18+(E28+E29+E31)*$B$19</f>
        <v/>
      </c>
      <c r="F39" s="90">
        <f>F38*$B$18+(F28+F29+F31)*$B$19</f>
        <v/>
      </c>
      <c r="G39" s="90">
        <f>G38*$B$18+(G28+G29+G31)*$B$19</f>
        <v/>
      </c>
      <c r="H39" s="90">
        <f>H38*$B$18+(H28+H29+H31)*$B$19</f>
        <v/>
      </c>
      <c r="I39" s="90">
        <f>I38*$B$18+(I28+I29+I31)*$B$19</f>
        <v/>
      </c>
      <c r="J39" s="90">
        <f>J38*$B$18+(J28+J29+J31)*$B$19</f>
        <v/>
      </c>
      <c r="K39" s="90">
        <f>K38*$B$18+(K28+K29+K31)*$B$19</f>
        <v/>
      </c>
      <c r="L39" s="90">
        <f>L38*$B$18+(L28+L29+L31)*$B$19</f>
        <v/>
      </c>
      <c r="M39" s="90">
        <f>M38*$B$18+(M28+M29+M31)*$B$19</f>
        <v/>
      </c>
      <c r="N39" s="90">
        <f>N38*$B$18+(N28+N29+N31)*$B$19</f>
        <v/>
      </c>
      <c r="O39" s="90">
        <f>O38*$B$18+(O28+O29+O31)*$B$19</f>
        <v/>
      </c>
      <c r="P39" s="90">
        <f>P38*$B$18+(P28+P29+P31)*$B$19</f>
        <v/>
      </c>
      <c r="Q39" s="90">
        <f>Q38*$B$18+(Q28+Q29+Q31)*$B$19</f>
        <v/>
      </c>
      <c r="R39" s="90">
        <f>R38*$B$18+(R28+R29+R31)*$B$19</f>
        <v/>
      </c>
      <c r="S39" s="90">
        <f>S38*$B$18+(S28+S29+S31)*$B$19</f>
        <v/>
      </c>
      <c r="T39" s="90">
        <f>T38*$B$18+(T28+T29+T31)*$B$19</f>
        <v/>
      </c>
      <c r="U39" s="90">
        <f>U38*$B$18+(U28+U29+U31)*$B$19</f>
        <v/>
      </c>
      <c r="V39" s="90">
        <f>V38*$B$18+(V28+V29+V31)*$B$19</f>
        <v/>
      </c>
      <c r="W39" s="90">
        <f>W38*$B$18+(W28+W29+W31)*$B$19</f>
        <v/>
      </c>
      <c r="X39" s="90">
        <f>X38*$B$18+(X28+X29+X31)*$B$19</f>
        <v/>
      </c>
      <c r="Y39" s="90">
        <f>Y38*$B$18+(Y28+Y29+Y31)*$B$19</f>
        <v/>
      </c>
      <c r="Z39" s="90">
        <f>Z38*$B$18+(Z28+Z29+Z31)*$B$19</f>
        <v/>
      </c>
      <c r="AA39" s="90">
        <f>AA38*$B$18+(AA28+AA29+AA31)*$B$19</f>
        <v/>
      </c>
      <c r="AB39" s="90">
        <f>AB38*$B$18+(AB28+AB29+AB31)*$B$19</f>
        <v/>
      </c>
      <c r="AC39" s="90">
        <f>AC38*$B$18+(AC28+AC29+AC31)*$B$19</f>
        <v/>
      </c>
      <c r="AD39" s="90">
        <f>AD38*$B$18+(AD28+AD29+AD31)*$B$19</f>
        <v/>
      </c>
      <c r="AE39" s="90">
        <f>AE38*$B$18+(AE28+AE29+AE31)*$B$19</f>
        <v/>
      </c>
      <c r="AF39" s="90">
        <f>AF38*$B$18+(AF28+AF29+AF31)*$B$19</f>
        <v/>
      </c>
      <c r="AG39" s="90">
        <f>AG38*$B$18+(AG28+AG29+AG31)*$B$19</f>
        <v/>
      </c>
      <c r="AH39" s="90">
        <f>AH38*$B$18+(AH28+AH29+AH31)*$B$19</f>
        <v/>
      </c>
      <c r="AI39" s="90">
        <f>AI38*$B$18+(AI28+AI29+AI31)*$B$19</f>
        <v/>
      </c>
      <c r="AJ39" s="90">
        <f>AJ38*$B$18+(AJ28+AJ29+AJ31)*$B$19</f>
        <v/>
      </c>
      <c r="AK39" s="90">
        <f>AK38*$B$18+(AK28+AK29+AK31)*$B$19</f>
        <v/>
      </c>
    </row>
    <row r="40">
      <c r="A40" t="inlineStr">
        <is>
          <t>Server units</t>
        </is>
      </c>
      <c r="B40" s="88" t="n">
        <v>1</v>
      </c>
      <c r="C40" s="88" t="n">
        <v>1</v>
      </c>
      <c r="D40" s="88" t="n">
        <v>1</v>
      </c>
      <c r="E40" s="88" t="n">
        <v>1</v>
      </c>
      <c r="F40" s="88" t="n">
        <v>1</v>
      </c>
      <c r="G40" s="88" t="n">
        <v>1</v>
      </c>
      <c r="H40" s="88" t="n">
        <v>1</v>
      </c>
      <c r="I40" s="88" t="n">
        <v>1</v>
      </c>
      <c r="J40" s="88" t="n">
        <v>1</v>
      </c>
      <c r="K40" s="88" t="n">
        <v>1</v>
      </c>
      <c r="L40" s="88" t="n">
        <v>1</v>
      </c>
      <c r="M40" s="88" t="n">
        <v>1</v>
      </c>
      <c r="N40" s="88" t="n">
        <v>1</v>
      </c>
      <c r="O40" s="88" t="n">
        <v>1</v>
      </c>
      <c r="P40" s="88" t="n">
        <v>1</v>
      </c>
      <c r="Q40" s="88" t="n">
        <v>1</v>
      </c>
      <c r="R40" s="88" t="n">
        <v>1</v>
      </c>
      <c r="S40" s="88" t="n">
        <v>1</v>
      </c>
      <c r="T40" s="88" t="n">
        <v>1</v>
      </c>
      <c r="U40" s="88" t="n">
        <v>1</v>
      </c>
      <c r="V40" s="88" t="n">
        <v>1</v>
      </c>
      <c r="W40" s="88" t="n">
        <v>1</v>
      </c>
      <c r="X40" s="88" t="n">
        <v>1</v>
      </c>
      <c r="Y40" s="88" t="n">
        <v>1</v>
      </c>
      <c r="Z40" s="88" t="n">
        <v>1</v>
      </c>
      <c r="AA40" s="88" t="n">
        <v>1</v>
      </c>
      <c r="AB40" s="88" t="n">
        <v>1</v>
      </c>
      <c r="AC40" s="88" t="n">
        <v>1</v>
      </c>
      <c r="AD40" s="88" t="n">
        <v>1</v>
      </c>
      <c r="AE40" s="88" t="n">
        <v>1</v>
      </c>
      <c r="AF40" s="88" t="n">
        <v>1</v>
      </c>
      <c r="AG40" s="88" t="n">
        <v>1</v>
      </c>
      <c r="AH40" s="88" t="n">
        <v>1</v>
      </c>
      <c r="AI40" s="88" t="n">
        <v>1</v>
      </c>
      <c r="AJ40" s="88" t="n">
        <v>1</v>
      </c>
      <c r="AK40" s="88" t="n">
        <v>1</v>
      </c>
    </row>
    <row r="41">
      <c r="A41" t="inlineStr">
        <is>
          <t>Infrastructure cost</t>
        </is>
      </c>
      <c r="B41" s="90">
        <f>B40*$B$14</f>
        <v/>
      </c>
      <c r="C41" s="90">
        <f>C40*$B$14</f>
        <v/>
      </c>
      <c r="D41" s="90">
        <f>D40*$B$14</f>
        <v/>
      </c>
      <c r="E41" s="90">
        <f>E40*$B$14</f>
        <v/>
      </c>
      <c r="F41" s="90">
        <f>F40*$B$14</f>
        <v/>
      </c>
      <c r="G41" s="90">
        <f>G40*$B$14</f>
        <v/>
      </c>
      <c r="H41" s="90">
        <f>H40*$B$14</f>
        <v/>
      </c>
      <c r="I41" s="90">
        <f>I40*$B$14</f>
        <v/>
      </c>
      <c r="J41" s="90">
        <f>J40*$B$14</f>
        <v/>
      </c>
      <c r="K41" s="90">
        <f>K40*$B$14</f>
        <v/>
      </c>
      <c r="L41" s="90">
        <f>L40*$B$14</f>
        <v/>
      </c>
      <c r="M41" s="90">
        <f>M40*$B$14</f>
        <v/>
      </c>
      <c r="N41" s="90">
        <f>N40*$B$14</f>
        <v/>
      </c>
      <c r="O41" s="90">
        <f>O40*$B$14</f>
        <v/>
      </c>
      <c r="P41" s="90">
        <f>P40*$B$14</f>
        <v/>
      </c>
      <c r="Q41" s="90">
        <f>Q40*$B$14</f>
        <v/>
      </c>
      <c r="R41" s="90">
        <f>R40*$B$14</f>
        <v/>
      </c>
      <c r="S41" s="90">
        <f>S40*$B$14</f>
        <v/>
      </c>
      <c r="T41" s="90">
        <f>T40*$B$14</f>
        <v/>
      </c>
      <c r="U41" s="90">
        <f>U40*$B$14</f>
        <v/>
      </c>
      <c r="V41" s="90">
        <f>V40*$B$14</f>
        <v/>
      </c>
      <c r="W41" s="90">
        <f>W40*$B$14</f>
        <v/>
      </c>
      <c r="X41" s="90">
        <f>X40*$B$14</f>
        <v/>
      </c>
      <c r="Y41" s="90">
        <f>Y40*$B$14</f>
        <v/>
      </c>
      <c r="Z41" s="90">
        <f>Z40*$B$14</f>
        <v/>
      </c>
      <c r="AA41" s="90">
        <f>AA40*$B$14</f>
        <v/>
      </c>
      <c r="AB41" s="90">
        <f>AB40*$B$14</f>
        <v/>
      </c>
      <c r="AC41" s="90">
        <f>AC40*$B$14</f>
        <v/>
      </c>
      <c r="AD41" s="90">
        <f>AD40*$B$14</f>
        <v/>
      </c>
      <c r="AE41" s="90">
        <f>AE40*$B$14</f>
        <v/>
      </c>
      <c r="AF41" s="90">
        <f>AF40*$B$14</f>
        <v/>
      </c>
      <c r="AG41" s="90">
        <f>AG40*$B$14</f>
        <v/>
      </c>
      <c r="AH41" s="90">
        <f>AH40*$B$14</f>
        <v/>
      </c>
      <c r="AI41" s="90">
        <f>AI40*$B$14</f>
        <v/>
      </c>
      <c r="AJ41" s="90">
        <f>AJ40*$B$14</f>
        <v/>
      </c>
      <c r="AK41" s="90">
        <f>AK40*$B$14</f>
        <v/>
      </c>
    </row>
    <row r="42">
      <c r="A42" t="inlineStr">
        <is>
          <t>Total expenses</t>
        </is>
      </c>
      <c r="B42" s="90">
        <f>$B$13+B41+B39</f>
        <v/>
      </c>
      <c r="C42" s="90">
        <f>$B$13+C41+C39</f>
        <v/>
      </c>
      <c r="D42" s="90">
        <f>$B$13+D41+D39</f>
        <v/>
      </c>
      <c r="E42" s="90">
        <f>$B$13+E41+E39</f>
        <v/>
      </c>
      <c r="F42" s="90">
        <f>$B$13+F41+F39</f>
        <v/>
      </c>
      <c r="G42" s="90">
        <f>$B$13+G41+G39</f>
        <v/>
      </c>
      <c r="H42" s="90">
        <f>$B$13+H41+H39</f>
        <v/>
      </c>
      <c r="I42" s="90">
        <f>$B$13+I41+I39</f>
        <v/>
      </c>
      <c r="J42" s="90">
        <f>$B$13+J41+J39</f>
        <v/>
      </c>
      <c r="K42" s="90">
        <f>$B$13+K41+K39</f>
        <v/>
      </c>
      <c r="L42" s="90">
        <f>$B$13+L41+L39</f>
        <v/>
      </c>
      <c r="M42" s="90">
        <f>$B$13+M41+M39</f>
        <v/>
      </c>
      <c r="N42" s="90">
        <f>$B$13+N41+N39</f>
        <v/>
      </c>
      <c r="O42" s="90">
        <f>$B$13+O41+O39</f>
        <v/>
      </c>
      <c r="P42" s="90">
        <f>$B$13+P41+P39</f>
        <v/>
      </c>
      <c r="Q42" s="90">
        <f>$B$13+Q41+Q39</f>
        <v/>
      </c>
      <c r="R42" s="90">
        <f>$B$13+R41+R39</f>
        <v/>
      </c>
      <c r="S42" s="90">
        <f>$B$13+S41+S39</f>
        <v/>
      </c>
      <c r="T42" s="90">
        <f>$B$13+T41+T39</f>
        <v/>
      </c>
      <c r="U42" s="90">
        <f>$B$13+U41+U39</f>
        <v/>
      </c>
      <c r="V42" s="90">
        <f>$B$13+V41+V39</f>
        <v/>
      </c>
      <c r="W42" s="90">
        <f>$B$13+W41+W39</f>
        <v/>
      </c>
      <c r="X42" s="90">
        <f>$B$13+X41+X39</f>
        <v/>
      </c>
      <c r="Y42" s="90">
        <f>$B$13+Y41+Y39</f>
        <v/>
      </c>
      <c r="Z42" s="90">
        <f>$B$13+Z41+Z39</f>
        <v/>
      </c>
      <c r="AA42" s="90">
        <f>$B$13+AA41+AA39</f>
        <v/>
      </c>
      <c r="AB42" s="90">
        <f>$B$13+AB41+AB39</f>
        <v/>
      </c>
      <c r="AC42" s="90">
        <f>$B$13+AC41+AC39</f>
        <v/>
      </c>
      <c r="AD42" s="90">
        <f>$B$13+AD41+AD39</f>
        <v/>
      </c>
      <c r="AE42" s="90">
        <f>$B$13+AE41+AE39</f>
        <v/>
      </c>
      <c r="AF42" s="90">
        <f>$B$13+AF41+AF39</f>
        <v/>
      </c>
      <c r="AG42" s="90">
        <f>$B$13+AG41+AG39</f>
        <v/>
      </c>
      <c r="AH42" s="90">
        <f>$B$13+AH41+AH39</f>
        <v/>
      </c>
      <c r="AI42" s="90">
        <f>$B$13+AI41+AI39</f>
        <v/>
      </c>
      <c r="AJ42" s="90">
        <f>$B$13+AJ41+AJ39</f>
        <v/>
      </c>
      <c r="AK42" s="90">
        <f>$B$13+AK41+AK39</f>
        <v/>
      </c>
    </row>
    <row r="43">
      <c r="A43" s="86" t="inlineStr">
        <is>
          <t>Profit / (Loss)</t>
        </is>
      </c>
      <c r="B43" s="92">
        <f>B38-B42</f>
        <v/>
      </c>
      <c r="C43" s="92">
        <f>C38-C42</f>
        <v/>
      </c>
      <c r="D43" s="92">
        <f>D38-D42</f>
        <v/>
      </c>
      <c r="E43" s="92">
        <f>E38-E42</f>
        <v/>
      </c>
      <c r="F43" s="92">
        <f>F38-F42</f>
        <v/>
      </c>
      <c r="G43" s="92">
        <f>G38-G42</f>
        <v/>
      </c>
      <c r="H43" s="92">
        <f>H38-H42</f>
        <v/>
      </c>
      <c r="I43" s="92">
        <f>I38-I42</f>
        <v/>
      </c>
      <c r="J43" s="92">
        <f>J38-J42</f>
        <v/>
      </c>
      <c r="K43" s="92">
        <f>K38-K42</f>
        <v/>
      </c>
      <c r="L43" s="92">
        <f>L38-L42</f>
        <v/>
      </c>
      <c r="M43" s="92">
        <f>M38-M42</f>
        <v/>
      </c>
      <c r="N43" s="92">
        <f>N38-N42</f>
        <v/>
      </c>
      <c r="O43" s="92">
        <f>O38-O42</f>
        <v/>
      </c>
      <c r="P43" s="92">
        <f>P38-P42</f>
        <v/>
      </c>
      <c r="Q43" s="92">
        <f>Q38-Q42</f>
        <v/>
      </c>
      <c r="R43" s="92">
        <f>R38-R42</f>
        <v/>
      </c>
      <c r="S43" s="92">
        <f>S38-S42</f>
        <v/>
      </c>
      <c r="T43" s="92">
        <f>T38-T42</f>
        <v/>
      </c>
      <c r="U43" s="92">
        <f>U38-U42</f>
        <v/>
      </c>
      <c r="V43" s="92">
        <f>V38-V42</f>
        <v/>
      </c>
      <c r="W43" s="92">
        <f>W38-W42</f>
        <v/>
      </c>
      <c r="X43" s="92">
        <f>X38-X42</f>
        <v/>
      </c>
      <c r="Y43" s="92">
        <f>Y38-Y42</f>
        <v/>
      </c>
      <c r="Z43" s="92">
        <f>Z38-Z42</f>
        <v/>
      </c>
      <c r="AA43" s="92">
        <f>AA38-AA42</f>
        <v/>
      </c>
      <c r="AB43" s="92">
        <f>AB38-AB42</f>
        <v/>
      </c>
      <c r="AC43" s="92">
        <f>AC38-AC42</f>
        <v/>
      </c>
      <c r="AD43" s="92">
        <f>AD38-AD42</f>
        <v/>
      </c>
      <c r="AE43" s="92">
        <f>AE38-AE42</f>
        <v/>
      </c>
      <c r="AF43" s="92">
        <f>AF38-AF42</f>
        <v/>
      </c>
      <c r="AG43" s="92">
        <f>AG38-AG42</f>
        <v/>
      </c>
      <c r="AH43" s="92">
        <f>AH38-AH42</f>
        <v/>
      </c>
      <c r="AI43" s="92">
        <f>AI38-AI42</f>
        <v/>
      </c>
      <c r="AJ43" s="92">
        <f>AJ38-AJ42</f>
        <v/>
      </c>
      <c r="AK43" s="92">
        <f>AK38-AK42</f>
        <v/>
      </c>
    </row>
    <row r="44">
      <c r="A44" s="86" t="inlineStr">
        <is>
          <t>Cumulative Profit / (Loss)</t>
        </is>
      </c>
      <c r="B44" s="92">
        <f>B43</f>
        <v/>
      </c>
      <c r="C44" s="92">
        <f>B44+C43</f>
        <v/>
      </c>
      <c r="D44" s="92">
        <f>C44+D43</f>
        <v/>
      </c>
      <c r="E44" s="92">
        <f>D44+E43</f>
        <v/>
      </c>
      <c r="F44" s="92">
        <f>E44+F43</f>
        <v/>
      </c>
      <c r="G44" s="92">
        <f>F44+G43</f>
        <v/>
      </c>
      <c r="H44" s="92">
        <f>G44+H43</f>
        <v/>
      </c>
      <c r="I44" s="92">
        <f>H44+I43</f>
        <v/>
      </c>
      <c r="J44" s="92">
        <f>I44+J43</f>
        <v/>
      </c>
      <c r="K44" s="92">
        <f>J44+K43</f>
        <v/>
      </c>
      <c r="L44" s="92">
        <f>K44+L43</f>
        <v/>
      </c>
      <c r="M44" s="92">
        <f>L44+M43</f>
        <v/>
      </c>
      <c r="N44" s="92">
        <f>M44+N43</f>
        <v/>
      </c>
      <c r="O44" s="92">
        <f>N44+O43</f>
        <v/>
      </c>
      <c r="P44" s="92">
        <f>O44+P43</f>
        <v/>
      </c>
      <c r="Q44" s="92">
        <f>P44+Q43</f>
        <v/>
      </c>
      <c r="R44" s="92">
        <f>Q44+R43</f>
        <v/>
      </c>
      <c r="S44" s="92">
        <f>R44+S43</f>
        <v/>
      </c>
      <c r="T44" s="92">
        <f>S44+T43</f>
        <v/>
      </c>
      <c r="U44" s="92">
        <f>T44+U43</f>
        <v/>
      </c>
      <c r="V44" s="92">
        <f>U44+V43</f>
        <v/>
      </c>
      <c r="W44" s="92">
        <f>V44+W43</f>
        <v/>
      </c>
      <c r="X44" s="92">
        <f>W44+X43</f>
        <v/>
      </c>
      <c r="Y44" s="92">
        <f>X44+Y43</f>
        <v/>
      </c>
      <c r="Z44" s="92">
        <f>Y44+Z43</f>
        <v/>
      </c>
      <c r="AA44" s="92">
        <f>Z44+AA43</f>
        <v/>
      </c>
      <c r="AB44" s="92">
        <f>AA44+AB43</f>
        <v/>
      </c>
      <c r="AC44" s="92">
        <f>AB44+AC43</f>
        <v/>
      </c>
      <c r="AD44" s="92">
        <f>AC44+AD43</f>
        <v/>
      </c>
      <c r="AE44" s="92">
        <f>AD44+AE43</f>
        <v/>
      </c>
      <c r="AF44" s="92">
        <f>AE44+AF43</f>
        <v/>
      </c>
      <c r="AG44" s="92">
        <f>AF44+AG43</f>
        <v/>
      </c>
      <c r="AH44" s="92">
        <f>AG44+AH43</f>
        <v/>
      </c>
      <c r="AI44" s="92">
        <f>AH44+AI43</f>
        <v/>
      </c>
      <c r="AJ44" s="92">
        <f>AI44+AJ43</f>
        <v/>
      </c>
      <c r="AK44" s="92">
        <f>AJ44+AK43</f>
        <v/>
      </c>
    </row>
    <row r="45"/>
    <row r="46">
      <c r="A46" s="93" t="inlineStr">
        <is>
          <t>Yellow = inputs (edit). Green = formulas (do not overwrite).</t>
        </is>
      </c>
    </row>
    <row r="47">
      <c r="A47" s="93" t="inlineStr">
        <is>
          <t>Challenge tickets and cohort seats are AUTO-CALCULATED from email list × take-rates. Toggle a month on/off via "Cohort run month" (1 / 0).</t>
        </is>
      </c>
    </row>
    <row r="48">
      <c r="A48" s="93" t="inlineStr">
        <is>
          <t>Plan-installment revenue spreads N-pay sales across the next N months (N = "Payment plan months").</t>
        </is>
      </c>
    </row>
    <row r="49">
      <c r="A49" s="93" t="inlineStr">
        <is>
          <t>See "Funnel" sheet for top-of-funnel sanity check.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37" activeCellId="0" sqref="A37"/>
    </sheetView>
  </sheetViews>
  <sheetFormatPr baseColWidth="8" defaultColWidth="8.6171875" defaultRowHeight="15" zeroHeight="0" outlineLevelRow="0"/>
  <cols>
    <col width="62" customWidth="1" style="36" min="1" max="1"/>
    <col width="16" customWidth="1" style="36" min="2" max="2"/>
    <col width="45" customWidth="1" style="36" min="3" max="3"/>
    <col width="16" customWidth="1" style="36" min="4" max="4"/>
  </cols>
  <sheetData>
    <row r="1" ht="17.35" customHeight="1" s="37">
      <c r="A1" s="54" t="inlineStr">
        <is>
          <t>YouTube → Email → Challenge → Cohort funnel (planning sheet)</t>
        </is>
      </c>
    </row>
    <row r="3" ht="15" customHeight="1" s="37">
      <c r="A3" s="38" t="inlineStr">
        <is>
          <t>ASSUMPTIONS (edit yellow)</t>
        </is>
      </c>
    </row>
    <row r="4" ht="15" customHeight="1" s="37">
      <c r="A4" s="36" t="inlineStr">
        <is>
          <t>Avg views / long-form video</t>
        </is>
      </c>
      <c r="B4" s="55" t="n">
        <v>800</v>
      </c>
      <c r="C4" s="36" t="inlineStr">
        <is>
          <t>first-90-day avg for new niche tech channel</t>
        </is>
      </c>
    </row>
    <row r="5" ht="15" customHeight="1" s="37">
      <c r="A5" s="36" t="inlineStr">
        <is>
          <t>Long-form videos / quarter</t>
        </is>
      </c>
      <c r="B5" s="55" t="n">
        <v>12</v>
      </c>
      <c r="C5" s="36" t="inlineStr">
        <is>
          <t>~1/wk</t>
        </is>
      </c>
    </row>
    <row r="6" ht="15" customHeight="1" s="37">
      <c r="A6" s="36" t="inlineStr">
        <is>
          <t>View → email subscriber %</t>
        </is>
      </c>
      <c r="B6" s="55" t="n">
        <v>0.005</v>
      </c>
      <c r="C6" s="36" t="inlineStr">
        <is>
          <t>0.3-1% realistic; 0.5% mid</t>
        </is>
      </c>
    </row>
    <row r="7" ht="15" customHeight="1" s="37">
      <c r="A7" s="36" t="inlineStr">
        <is>
          <t>Email subscriber → challenge ticket %</t>
        </is>
      </c>
      <c r="B7" s="55" t="n">
        <v>0.02</v>
      </c>
      <c r="C7" s="36" t="inlineStr">
        <is>
          <t>1-3% on a launch; 2% mid</t>
        </is>
      </c>
    </row>
    <row r="8" ht="15" customHeight="1" s="37">
      <c r="A8" s="36" t="inlineStr">
        <is>
          <t>Challenge ticket → cohort sale %</t>
        </is>
      </c>
      <c r="B8" s="55" t="n">
        <v>0.12</v>
      </c>
      <c r="C8" s="36" t="inlineStr">
        <is>
          <t>10-20% on a paid challenge; 12% mid</t>
        </is>
      </c>
    </row>
    <row r="9" ht="15" customHeight="1" s="37">
      <c r="A9" s="36" t="inlineStr">
        <is>
          <t>Cohort price ($)</t>
        </is>
      </c>
      <c r="B9" s="55" t="n">
        <v>5000</v>
      </c>
      <c r="C9" s="36" t="inlineStr">
        <is>
          <t>flagship</t>
        </is>
      </c>
    </row>
    <row r="10" ht="15" customHeight="1" s="37">
      <c r="A10" s="36" t="inlineStr">
        <is>
          <t>Challenge ticket avg price ($)</t>
        </is>
      </c>
      <c r="B10" s="55" t="n">
        <v>130</v>
      </c>
      <c r="C10" s="36" t="inlineStr">
        <is>
          <t>blended GA $97 / VIP $297</t>
        </is>
      </c>
    </row>
    <row r="12" ht="15" customHeight="1" s="37">
      <c r="A12" s="38" t="inlineStr">
        <is>
          <t>SCENARIOS</t>
        </is>
      </c>
    </row>
    <row r="13" ht="15" customHeight="1" s="37">
      <c r="A13" s="36" t="inlineStr">
        <is>
          <t>Scenario</t>
        </is>
      </c>
      <c r="B13" s="36" t="inlineStr">
        <is>
          <t>Bear (0.5×)</t>
        </is>
      </c>
      <c r="C13" s="36" t="inlineStr">
        <is>
          <t>Base (1×)</t>
        </is>
      </c>
      <c r="D13" s="36" t="inlineStr">
        <is>
          <t>Bull (2×)</t>
        </is>
      </c>
    </row>
    <row r="14" ht="15" customHeight="1" s="37">
      <c r="B14" s="36" t="n">
        <v>0.5</v>
      </c>
      <c r="C14" s="36" t="n">
        <v>1</v>
      </c>
      <c r="D14" s="36" t="n">
        <v>2</v>
      </c>
    </row>
    <row r="15" ht="15" customHeight="1" s="37">
      <c r="A15" s="36" t="inlineStr">
        <is>
          <t>Total views (per quarter)</t>
        </is>
      </c>
      <c r="B15" s="56">
        <f>$B$4*$B$5*B14</f>
        <v/>
      </c>
      <c r="C15" s="56">
        <f>$B$4*$B$5*C14</f>
        <v/>
      </c>
      <c r="D15" s="56">
        <f>$B$4*$B$5*D14</f>
        <v/>
      </c>
    </row>
    <row r="16" ht="15" customHeight="1" s="37">
      <c r="A16" s="36" t="inlineStr">
        <is>
          <t>Email signups (per quarter)</t>
        </is>
      </c>
      <c r="B16" s="56">
        <f>B15*$B$6</f>
        <v/>
      </c>
      <c r="C16" s="56">
        <f>C15*$B$6</f>
        <v/>
      </c>
      <c r="D16" s="56">
        <f>D15*$B$6</f>
        <v/>
      </c>
    </row>
    <row r="17" ht="15" customHeight="1" s="37">
      <c r="A17" s="36" t="inlineStr">
        <is>
          <t>Challenge tickets (per quarter)</t>
        </is>
      </c>
      <c r="B17" s="56">
        <f>B16*$B$7</f>
        <v/>
      </c>
      <c r="C17" s="56">
        <f>C16*$B$7</f>
        <v/>
      </c>
      <c r="D17" s="56">
        <f>D16*$B$7</f>
        <v/>
      </c>
    </row>
    <row r="18" ht="15" customHeight="1" s="37">
      <c r="A18" s="36" t="inlineStr">
        <is>
          <t>Cohort sales (per quarter)</t>
        </is>
      </c>
      <c r="B18" s="56">
        <f>B17*$B$8</f>
        <v/>
      </c>
      <c r="C18" s="56">
        <f>C17*$B$8</f>
        <v/>
      </c>
      <c r="D18" s="56">
        <f>D17*$B$8</f>
        <v/>
      </c>
    </row>
    <row r="19" ht="15" customHeight="1" s="37">
      <c r="A19" s="36" t="inlineStr">
        <is>
          <t>Cohort revenue ($/quarter)</t>
        </is>
      </c>
      <c r="B19" s="56">
        <f>B18*$B$9</f>
        <v/>
      </c>
      <c r="C19" s="56">
        <f>C18*$B$9</f>
        <v/>
      </c>
      <c r="D19" s="56">
        <f>D18*$B$9</f>
        <v/>
      </c>
    </row>
    <row r="20" ht="15" customHeight="1" s="37">
      <c r="A20" s="36" t="inlineStr">
        <is>
          <t>Challenge revenue ($/quarter)</t>
        </is>
      </c>
      <c r="B20" s="56">
        <f>B17*$B$10</f>
        <v/>
      </c>
      <c r="C20" s="56">
        <f>C17*$B$10</f>
        <v/>
      </c>
      <c r="D20" s="56">
        <f>D17*$B$10</f>
        <v/>
      </c>
    </row>
    <row r="21" ht="15" customHeight="1" s="37">
      <c r="A21" s="36" t="inlineStr">
        <is>
          <t>Total revenue ($/quarter)</t>
        </is>
      </c>
      <c r="B21" s="56">
        <f>B19+B20</f>
        <v/>
      </c>
      <c r="C21" s="56">
        <f>C19+C20</f>
        <v/>
      </c>
      <c r="D21" s="56">
        <f>D19+D20</f>
        <v/>
      </c>
    </row>
    <row r="23" ht="15" customHeight="1" s="37">
      <c r="A23" s="38" t="inlineStr">
        <is>
          <t>WARM-NETWORK SUPPLEMENT (real life &gt; pure funnel)</t>
        </is>
      </c>
    </row>
    <row r="24" ht="15" customHeight="1" s="37">
      <c r="A24" s="36" t="inlineStr">
        <is>
          <t>Cohort sales from LinkedIn warm DMs / quarter</t>
        </is>
      </c>
      <c r="B24" s="55" t="n">
        <v>2</v>
      </c>
    </row>
    <row r="25" ht="15" customHeight="1" s="37">
      <c r="A25" s="36" t="inlineStr">
        <is>
          <t>Cohort sales from referrals / quarter</t>
        </is>
      </c>
      <c r="B25" s="55" t="n">
        <v>1</v>
      </c>
    </row>
    <row r="26" ht="15" customHeight="1" s="37">
      <c r="A26" s="36" t="inlineStr">
        <is>
          <t>Cohort sales from existing list (&gt;500 subs already) / quarter</t>
        </is>
      </c>
      <c r="B26" s="55" t="n">
        <v>1</v>
      </c>
    </row>
    <row r="27" ht="15" customHeight="1" s="37">
      <c r="A27" s="36" t="inlineStr">
        <is>
          <t>Total warm-supplement seats / quarter</t>
        </is>
      </c>
      <c r="B27" s="56">
        <f>B24+B25+B26</f>
        <v/>
      </c>
    </row>
    <row r="28" ht="15" customHeight="1" s="37">
      <c r="A28" s="38" t="inlineStr">
        <is>
          <t>COMBINED Base seats per quarter (funnel + warm)</t>
        </is>
      </c>
      <c r="B28" s="56">
        <f>C18+B27</f>
        <v/>
      </c>
    </row>
    <row r="29" ht="15" customHeight="1" s="37">
      <c r="A29" s="36" t="inlineStr">
        <is>
          <t>COMBINED Base revenue per quarter</t>
        </is>
      </c>
      <c r="B29" s="56">
        <f>B28*$B$9</f>
        <v/>
      </c>
    </row>
    <row r="31" ht="15" customHeight="1" s="37">
      <c r="A31" s="38" t="inlineStr">
        <is>
          <t>Notes:</t>
        </is>
      </c>
    </row>
    <row r="32" ht="15" customHeight="1" s="37">
      <c r="A32" s="36" t="inlineStr">
        <is>
          <t>* Funnel rates assume cold-start niche tech channel without paid ads. Adjust upward if existing audience &gt;1k engaged.</t>
        </is>
      </c>
    </row>
    <row r="33" ht="15" customHeight="1" s="37">
      <c r="A33" s="36" t="inlineStr">
        <is>
          <t>* "Email signups → challenge tickets" rate (2%) assumes the launch is to a fresh / newly-warmed list.</t>
        </is>
      </c>
    </row>
    <row r="34" ht="15" customHeight="1" s="37">
      <c r="A34" s="36" t="inlineStr">
        <is>
          <t>* "Challenge → cohort" 12% mid is the magic step — paid attendees convert ~10x free email leads.</t>
        </is>
      </c>
    </row>
    <row r="35" ht="15" customHeight="1" s="37">
      <c r="A35" s="36" t="inlineStr">
        <is>
          <t>* This sheet does NOT model compounding list growth. For W12 Cohort #1 plan, see "Ami — Projection" seat ramp.</t>
        </is>
      </c>
    </row>
    <row r="36" ht="15" customHeight="1" s="37">
      <c r="A36" s="36" t="inlineStr">
        <is>
          <t>* Realistic Cohort #1 (W12) target: 3 seats. Stretch: 5. Hitting 8 implies Bull-scenario top-of-funnel from W01.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85"/>
  <sheetViews>
    <sheetView showFormulas="0" showGridLines="1" showRowColHeaders="1" showZeros="1" rightToLeft="0" tabSelected="0" showOutlineSymbols="1" defaultGridColor="1" view="normal" topLeftCell="A70" colorId="64" zoomScale="100" zoomScaleNormal="100" zoomScalePageLayoutView="100" workbookViewId="0">
      <selection pane="topLeft" activeCell="A84" activeCellId="0" sqref="A84"/>
    </sheetView>
  </sheetViews>
  <sheetFormatPr baseColWidth="8" defaultColWidth="8.87890625" defaultRowHeight="15" zeroHeight="0" outlineLevelRow="0"/>
  <cols>
    <col width="41.31" customWidth="1" style="36" min="1" max="1"/>
    <col width="92.95" customWidth="1" style="36" min="2" max="2"/>
  </cols>
  <sheetData>
    <row r="1" ht="19.5" customHeight="1" s="37">
      <c r="A1" s="57" t="inlineStr">
        <is>
          <t>Graham Cochrane — Business Model Notes</t>
        </is>
      </c>
    </row>
    <row r="3" ht="15.75" customHeight="1" s="37">
      <c r="A3" s="58" t="inlineStr">
        <is>
          <t>Book 1 — How to Get Paid for What You Know (211 pp)</t>
        </is>
      </c>
    </row>
    <row r="4" ht="30.75" customHeight="1" s="37">
      <c r="A4" s="59" t="inlineStr">
        <is>
          <t>Core thesis</t>
        </is>
      </c>
      <c r="B4" s="60" t="inlineStr">
        <is>
          <t>Build a Value Circle: Give (free content) -&gt; Sell (course) -&gt; Overdeliver (bonuses) -&gt; Receive (money + referrals). Income is determined by how many people you serve and how well you serve them.</t>
        </is>
      </c>
    </row>
    <row r="5" ht="30.75" customHeight="1" s="37">
      <c r="A5" s="59" t="inlineStr">
        <is>
          <t>Cochrane's own ramp</t>
        </is>
      </c>
      <c r="B5" s="60" t="inlineStr">
        <is>
          <t>Food stamps -&gt; $1k/mo by month 12 -&gt; $60k/yr by month 24 -&gt; $10k/mo by month 25 -&gt; $1M+/yr by year 3+.</t>
        </is>
      </c>
    </row>
    <row r="7" ht="15.75" customHeight="1" s="37">
      <c r="A7" s="58" t="inlineStr">
        <is>
          <t>Book 2 — Rebel (138 pp)</t>
        </is>
      </c>
    </row>
    <row r="8" ht="45.75" customHeight="1" s="37">
      <c r="A8" s="59" t="inlineStr">
        <is>
          <t>Core thesis</t>
        </is>
      </c>
      <c r="B8" s="60" t="inlineStr">
        <is>
          <t>Personal-development lens: live authentically, pursue work aligned with your talents and values. Online business enables lifestyle freedom. Cochrane works &lt;20 hrs/week earning multiple seven figures. Action and discipline &gt; perfect conditions.</t>
        </is>
      </c>
    </row>
    <row r="10" ht="15.75" customHeight="1" s="37">
      <c r="A10" s="58" t="inlineStr">
        <is>
          <t>Pricing &amp; Conversion Benchmarks</t>
        </is>
      </c>
    </row>
    <row r="11" ht="30.75" customHeight="1" s="37">
      <c r="A11" s="59" t="inlineStr">
        <is>
          <t>Course pricing — tiered (Cochrane's range)</t>
        </is>
      </c>
      <c r="B11" s="60" t="inlineStr">
        <is>
          <t>Low $97-$197, mid $297-$397, high $597-$997. Tiered offers lift AOV ~50%; ~50% of buyers pick the middle tier. (Rethink Mixing example: $99/$149/$349.)</t>
        </is>
      </c>
    </row>
    <row r="12" ht="15.75" customHeight="1" s="37">
      <c r="A12" s="59" t="inlineStr">
        <is>
          <t>Launch conversion</t>
        </is>
      </c>
      <c r="B12" s="60" t="inlineStr">
        <is>
          <t>0.5%-1% of email list buys per launch. Example: 5K list * $297 * 0.7% = ~$10k launch.</t>
        </is>
      </c>
    </row>
    <row r="13" ht="15.75" customHeight="1" s="37">
      <c r="A13" s="59" t="inlineStr">
        <is>
          <t>Evergreen conversion</t>
        </is>
      </c>
      <c r="B13" s="60" t="inlineStr">
        <is>
          <t>~0.1%/month between launches.</t>
        </is>
      </c>
    </row>
    <row r="14" ht="15.75" customHeight="1" s="37">
      <c r="A14" s="59" t="inlineStr">
        <is>
          <t>Email engagement</t>
        </is>
      </c>
      <c r="B14" s="60" t="inlineStr">
        <is>
          <t>Open rate 40-50% (small lists), 15-30% (mature). Click rate 0.5%-7%.</t>
        </is>
      </c>
    </row>
    <row r="15" ht="15.75" customHeight="1" s="37">
      <c r="A15" s="59" t="inlineStr">
        <is>
          <t>Launch cadence</t>
        </is>
      </c>
      <c r="B15" s="60" t="inlineStr">
        <is>
          <t>3/year typical (Feb / May / Sep). Skip Q4 holidays.</t>
        </is>
      </c>
    </row>
    <row r="16" ht="15.75" customHeight="1" s="37">
      <c r="A16" s="59" t="inlineStr">
        <is>
          <t>Cohort / mastermind pricing</t>
        </is>
      </c>
      <c r="B16" s="60" t="inlineStr">
        <is>
          <t>$1k-$3k per seat, 8-12 seats, 2-3 runs/year.</t>
        </is>
      </c>
    </row>
    <row r="17" ht="15.75" customHeight="1" s="37">
      <c r="A17" s="59" t="inlineStr">
        <is>
          <t>Consulting / coaching</t>
        </is>
      </c>
      <c r="B17" s="60" t="inlineStr">
        <is>
          <t>1-on-1 retainers $500-$2k/mo. Hourly $150-$500.</t>
        </is>
      </c>
    </row>
    <row r="19" ht="15.75" customHeight="1" s="37">
      <c r="A19" s="58" t="inlineStr">
        <is>
          <t>Revenue Streams (mapped to this model)</t>
        </is>
      </c>
    </row>
    <row r="20" ht="30.75" customHeight="1" s="37">
      <c r="A20" s="59" t="inlineStr">
        <is>
          <t>Self-paced course (flagship)</t>
        </is>
      </c>
      <c r="B20" s="60" t="inlineStr">
        <is>
          <t>Tiered $199 / $599 / $1999 (this model). Cochrane recommends starting $97-$197 base with mid/high tiers above.</t>
        </is>
      </c>
    </row>
    <row r="21" ht="15.75" customHeight="1" s="37">
      <c r="A21" s="59" t="inlineStr">
        <is>
          <t>Promo week (5 daily group sessions)</t>
        </is>
      </c>
      <c r="B21" s="60" t="inlineStr">
        <is>
          <t>$199 standard / $599 VIP. Monthly recurring teaching event for prospects.</t>
        </is>
      </c>
    </row>
    <row r="22" ht="15.75" customHeight="1" s="37">
      <c r="A22" s="59" t="inlineStr">
        <is>
          <t>Group cohort / mastermind</t>
        </is>
      </c>
      <c r="B22" s="60" t="inlineStr">
        <is>
          <t>$2,000 per seat x 10 seats = $20k per run, 2 runs/year in this model.</t>
        </is>
      </c>
    </row>
    <row r="23" ht="15.75" customHeight="1" s="37">
      <c r="A23" s="59" t="inlineStr">
        <is>
          <t>1-on-1 consulting</t>
        </is>
      </c>
      <c r="B23" s="60" t="inlineStr">
        <is>
          <t>$500/hr — packages of 1 hr/week, or retainer at $3,000/mo (= 6 hrs).</t>
        </is>
      </c>
    </row>
    <row r="24" ht="15.75" customHeight="1" s="37">
      <c r="A24" s="59" t="inlineStr">
        <is>
          <t>Community membership</t>
        </is>
      </c>
      <c r="B24" s="60" t="inlineStr">
        <is>
          <t>$99/month (cheapest item). Open after first course launch.</t>
        </is>
      </c>
    </row>
    <row r="25" ht="30.75" customHeight="1" s="37">
      <c r="A25" s="59" t="inlineStr">
        <is>
          <t>B2B SaaS (RE doc-signing / wire-fraud prevention)</t>
        </is>
      </c>
      <c r="B25" s="60" t="inlineStr">
        <is>
          <t>Annual fee modeled at $5,000/customer/year. Rule of thumb: charge ~1/10 of the customer's annual potential loss. Edit B22 to tune.</t>
        </is>
      </c>
    </row>
    <row r="27" ht="15.75" customHeight="1" s="37">
      <c r="A27" s="58" t="inlineStr">
        <is>
          <t>Overhead Recommendations</t>
        </is>
      </c>
    </row>
    <row r="28" ht="30.75" customHeight="1" s="37">
      <c r="A28" s="59" t="inlineStr">
        <is>
          <t>Platform stack (his)</t>
        </is>
      </c>
      <c r="B28" s="60" t="inlineStr">
        <is>
          <t>Kajabi all-in-one $119-$300/mo. Substitute: self-hosted Listmonk + own video, ~$50/mo VPS overhead (Ami's setup).</t>
        </is>
      </c>
    </row>
    <row r="29" ht="15.75" customHeight="1" s="37">
      <c r="A29" s="59" t="inlineStr">
        <is>
          <t>Video equipment</t>
        </is>
      </c>
      <c r="B29" s="60" t="inlineStr">
        <is>
          <t>Smartphone + lavalier mic + free editor. &lt;$200 one-time.</t>
        </is>
      </c>
    </row>
    <row r="30" ht="15.75" customHeight="1" s="37">
      <c r="A30" s="59" t="inlineStr">
        <is>
          <t>VA / part-time help</t>
        </is>
      </c>
      <c r="B30" s="60" t="inlineStr">
        <is>
          <t>Not required for launch. $500-$2k/mo when you scale.</t>
        </is>
      </c>
    </row>
    <row r="31" ht="30.75" customHeight="1" s="37">
      <c r="A31" s="59" t="inlineStr">
        <is>
          <t>Paid ads</t>
        </is>
      </c>
      <c r="B31" s="60" t="inlineStr">
        <is>
          <t>Cochrane does NOT recommend until free traffic is exhausted, products are selling, and the funnel is proven.</t>
        </is>
      </c>
    </row>
    <row r="33" ht="15.75" customHeight="1" s="37">
      <c r="A33" s="58" t="inlineStr">
        <is>
          <t>Recommended Ramp Timeline</t>
        </is>
      </c>
    </row>
    <row r="34" ht="30.75" customHeight="1" s="37">
      <c r="A34" s="59" t="inlineStr">
        <is>
          <t>Months 0-6</t>
        </is>
      </c>
      <c r="B34" s="60" t="inlineStr">
        <is>
          <t>Build audience: weekly content, validate idea via customer research. No course yet. Founder draw $4k/mo (this model).</t>
        </is>
      </c>
    </row>
    <row r="35" ht="30.75" customHeight="1" s="37">
      <c r="A35" s="59" t="inlineStr">
        <is>
          <t>Months 6-12</t>
        </is>
      </c>
      <c r="B35" s="60" t="inlineStr">
        <is>
          <t>Launch first course. Cochrane: 0.5-1% list conversion. This model uses 1.5% (more aggressive). Expect $5k-$15k first launch.</t>
        </is>
      </c>
    </row>
    <row r="36" ht="15.75" customHeight="1" s="37">
      <c r="A36" s="59" t="inlineStr">
        <is>
          <t>Months 12-18</t>
        </is>
      </c>
      <c r="B36" s="60" t="inlineStr">
        <is>
          <t>Promo week starts. List 1k-2k. Founder draw stays at $4k/mo through M12.</t>
        </is>
      </c>
    </row>
    <row r="37" ht="15.75" customHeight="1" s="37">
      <c r="A37" s="59" t="inlineStr">
        <is>
          <t>Months 18-24</t>
        </is>
      </c>
      <c r="B37" s="60" t="inlineStr">
        <is>
          <t>First cohort run. List 2k-3k. Founder draw bumps to $6k/mo for Year 2.</t>
        </is>
      </c>
    </row>
    <row r="38" ht="30.75" customHeight="1" s="37">
      <c r="A38" s="59" t="inlineStr">
        <is>
          <t>Year 3 (M25-M36)</t>
        </is>
      </c>
      <c r="B38" s="60" t="inlineStr">
        <is>
          <t>Full revenue mix: course launches + promo + cohorts + consulting + membership + SaaS. Founder draw bumps to $10k/mo.</t>
        </is>
      </c>
    </row>
    <row r="40" ht="15.75" customHeight="1" s="37">
      <c r="A40" s="58" t="inlineStr">
        <is>
          <t>Key Takeaways</t>
        </is>
      </c>
    </row>
    <row r="41" ht="15.75" customHeight="1" s="37">
      <c r="A41" s="59" t="inlineStr">
        <is>
          <t>Email list = #1 asset</t>
        </is>
      </c>
      <c r="B41" s="60" t="inlineStr">
        <is>
          <t>Ignore vanity follower counts. Build email list of blockchain devs/students.</t>
        </is>
      </c>
    </row>
    <row r="42" ht="15.75" customHeight="1" s="37">
      <c r="A42" s="59" t="inlineStr">
        <is>
          <t>Content is evergreen currency</t>
        </is>
      </c>
      <c r="B42" s="60" t="inlineStr">
        <is>
          <t>YouTube + blog weekly for 12+ months drives free traffic indefinitely.</t>
        </is>
      </c>
    </row>
    <row r="43" ht="30.75" customHeight="1" s="37">
      <c r="A43" s="59" t="inlineStr">
        <is>
          <t>Tiered pricing</t>
        </is>
      </c>
      <c r="B43" s="60" t="inlineStr">
        <is>
          <t>$199 / $599 / $1999 (this model). Roughly 3x and 3.3x between tiers; blended AOV well above any single price.</t>
        </is>
      </c>
    </row>
    <row r="44" ht="15.75" customHeight="1" s="37">
      <c r="A44" s="59" t="inlineStr">
        <is>
          <t>Pricing floor</t>
        </is>
      </c>
      <c r="B44" s="60" t="inlineStr">
        <is>
          <t>Nothing one-time below $199. Membership at $99/mo is the only sub-$199 item (recurring).</t>
        </is>
      </c>
    </row>
    <row r="45" ht="15.75" customHeight="1" s="37">
      <c r="A45" s="59" t="inlineStr">
        <is>
          <t>Consulting unlock</t>
        </is>
      </c>
      <c r="B45" s="60" t="inlineStr">
        <is>
          <t>$500/hr * 60 hrs cap = $30k/mo ceiling — significant lever.</t>
        </is>
      </c>
    </row>
    <row r="47" ht="35.25" customHeight="1" s="37">
      <c r="A47" s="61" t="inlineStr">
        <is>
          <t>Book 3 — The Effortless Business (54 pp, 2026)</t>
        </is>
      </c>
    </row>
    <row r="48" ht="45.75" customHeight="1" s="37">
      <c r="A48" s="62" t="inlineStr">
        <is>
          <t>Core thesis</t>
        </is>
      </c>
      <c r="B48" s="63" t="inlineStr">
        <is>
          <t>Build a high-income, low-maintenance business via the Effortless Income Engine: Client Magnet (one weekly long-form piece) + Magic Offer (one high-ticket offer) + Effortless Enrollment (paid virtual events). Three marks of success: Money, Margin, Meaning. Built around your Uniqueness in the middle.</t>
        </is>
      </c>
    </row>
    <row r="49" ht="45.75" customHeight="1" s="37">
      <c r="A49" s="62" t="inlineStr">
        <is>
          <t>Cochrane's current state</t>
        </is>
      </c>
      <c r="B49" s="63" t="inlineStr">
        <is>
          <t>Works ~5 hrs/week, generates $3M-$5M/yr. Mondays = thinking, Tuesdays = record podcast, Wednesdays = inner-circle coaching, Thursdays = light, Fridays off (date day). Editing/clipping/upload all delegated.</t>
        </is>
      </c>
    </row>
    <row r="51" ht="18" customHeight="1" s="37">
      <c r="A51" s="61" t="inlineStr">
        <is>
          <t>Effortless Income Engine — 3 Systems</t>
        </is>
      </c>
    </row>
    <row r="52" ht="45.75" customHeight="1" s="37">
      <c r="A52" s="62" t="inlineStr">
        <is>
          <t>System 1 — Client Magnet</t>
        </is>
      </c>
      <c r="B52" s="63" t="inlineStr">
        <is>
          <t>ONE long-form piece per week (30-45 min YouTube/podcast). Searchable + evergreen + immersive. Speak to ONE person ("Chad" persona). Hub-and-spoke: chop into Reels/Shorts. Do NOT post daily. Quality over quantity. Aiko example: 500 subs, $30k/mo.</t>
        </is>
      </c>
    </row>
    <row r="53" ht="30.75" customHeight="1" s="37">
      <c r="A53" s="62" t="inlineStr">
        <is>
          <t>System 2 — Magic Offer</t>
        </is>
      </c>
      <c r="B53" s="63" t="inlineStr">
        <is>
          <t>ONE high-ticket offer ($5k-$100k+). MAGIC acronym = Measurable outcome, Actionable steps, Generous payoff (10x value), Infinitely scalable, Clear name. Avoid bloat: bloated offer signals insecurity.</t>
        </is>
      </c>
    </row>
    <row r="54" ht="45.75" customHeight="1" s="37">
      <c r="A54" s="62" t="inlineStr">
        <is>
          <t>System 3 — Effortless Enrollment</t>
        </is>
      </c>
      <c r="B54" s="63" t="inlineStr">
        <is>
          <t>Sell via paid virtual events (3-4 hr master class OR 3-5 day paid challenge), NOT free webinars or 1-on-1 sales calls. GA ticket $47-$97, VIP $147-$297. Logic: paid customers &gt; free leads (IKEA effect, commitment, social proof, reciprocity, scarcity).</t>
        </is>
      </c>
    </row>
    <row r="55" ht="30.75" customHeight="1" s="37">
      <c r="A55" s="62" t="inlineStr">
        <is>
          <t>Magic Offer Matrix</t>
        </is>
      </c>
      <c r="B55" s="64" t="inlineStr">
        <is>
          <t>4 quadrants (price x ease-of-conversion): Pointless (low/hard), Needy (low/easy = exhausting volume + complainers), Exhausting (high/hard = sales-call hell), MAGIC (high/easy). Build only Magic offers.</t>
        </is>
      </c>
    </row>
    <row r="57" ht="18" customHeight="1" s="37">
      <c r="A57" s="61" t="inlineStr">
        <is>
          <t>Pricing Math</t>
        </is>
      </c>
    </row>
    <row r="58" ht="45.75" customHeight="1" s="37">
      <c r="A58" s="62" t="inlineStr">
        <is>
          <t>64/4 rule</t>
        </is>
      </c>
      <c r="B58" s="64" t="inlineStr">
        <is>
          <t>80/20 applied twice: top 4% of customers spend 16x the average. Build product line for the 80%, the 16%, AND the 4%. Espresso machine principle: Starbucks puts a $170 espresso machine on the counter for the 4% who will buy it.</t>
        </is>
      </c>
    </row>
    <row r="59" ht="30.75" customHeight="1" s="37">
      <c r="A59" s="62" t="inlineStr">
        <is>
          <t>Million-dollar math</t>
        </is>
      </c>
      <c r="B59" s="64" t="inlineStr">
        <is>
          <t>$100 offer = 10,000 sales/yr (27/day). $1k = 1,000 sales/yr (3/day). $10k = 100 sales/yr (8/mo). $100k = 10 sales/yr (1/mo). Pick path of least resistance — most struggling founders chose the wrong column.</t>
        </is>
      </c>
    </row>
    <row r="60" ht="45.75" customHeight="1" s="37">
      <c r="A60" s="62" t="inlineStr">
        <is>
          <t>Pricing rule</t>
        </is>
      </c>
      <c r="B60" s="64" t="inlineStr">
        <is>
          <t>Charge ~1/10 of the value you create OR cost of the alternative OR cost of NOT solving. Frank example: divorce costs $100k+; marriage coaching = $10k, not $3k. Cochrane's $250k VIP day = clients earn $2.5M+/yr from it.</t>
        </is>
      </c>
    </row>
    <row r="61" ht="45.75" customHeight="1" s="37">
      <c r="A61" s="62" t="inlineStr">
        <is>
          <t>6 Ps of premium pricing</t>
        </is>
      </c>
      <c r="B61" s="64" t="inlineStr">
        <is>
          <t>Profit, Protection, Peace, Pipeline, Positioning, Participation. Higher price -&gt; fewer/more-committed clients -&gt; better results -&gt; better testimonials -&gt; easier sales. Price-quality inference: higher price = higher perceived quality.</t>
        </is>
      </c>
    </row>
    <row r="62" ht="15" customHeight="1" s="37">
      <c r="B62" s="65" t="n"/>
    </row>
    <row r="63" ht="18" customHeight="1" s="37">
      <c r="A63" s="61" t="inlineStr">
        <is>
          <t>Offer Construction (4 Ps)</t>
        </is>
      </c>
      <c r="B63" s="65" t="n"/>
    </row>
    <row r="64" ht="30.75" customHeight="1" s="37">
      <c r="A64" s="62" t="inlineStr">
        <is>
          <t>Pieces / Process / Person / Payoff</t>
        </is>
      </c>
      <c r="B64" s="64" t="inlineStr">
        <is>
          <t>Most founders spend 80% of pitch on pieces (modules), process (your method), or person (your bio). Spend 80-95% on PAYOFF (the outcome). People do not buy stuff; they buy certainty of outcome.</t>
        </is>
      </c>
    </row>
    <row r="65" ht="45.75" customHeight="1" s="37">
      <c r="A65" s="62" t="inlineStr">
        <is>
          <t>5-step Magic Offer build</t>
        </is>
      </c>
      <c r="B65" s="64" t="inlineStr">
        <is>
          <t>1. Name = the outcome ("World-Class Mixes"; use Rory Vaden's "I want ___" test). 2. Price = 1/10 of value. 3. Define hell -&gt; heaven. 4. Map 3-4 high-level steps. 5. Choose fulfillment (cohort / VIP day / course / 90-day intensive — your choice, your lifestyle).</t>
        </is>
      </c>
    </row>
    <row r="66" ht="15" customHeight="1" s="37">
      <c r="B66" s="65" t="n"/>
    </row>
    <row r="67" ht="35.25" customHeight="1" s="37">
      <c r="A67" s="66" t="inlineStr">
        <is>
          <t>20-Hour CEO — Dream Week (4 Pillars)</t>
        </is>
      </c>
      <c r="B67" s="65" t="n"/>
    </row>
    <row r="68" ht="30.75" customHeight="1" s="37">
      <c r="A68" s="67" t="inlineStr">
        <is>
          <t>Recharge</t>
        </is>
      </c>
      <c r="B68" s="64" t="inlineStr">
        <is>
          <t>Block weekly time to refuel: gym, walk, prayer, coffee shop. START the week with these, NOT work tasks. Time isn't your most limited resource — energy is.</t>
        </is>
      </c>
    </row>
    <row r="69" ht="30.75" customHeight="1" s="37">
      <c r="A69" s="67" t="inlineStr">
        <is>
          <t>Relationship</t>
        </is>
      </c>
      <c r="B69" s="64" t="inlineStr">
        <is>
          <t>Block weekly time with spouse, kids, mentors. Cochrane: Fridays = wife date day, mornings with daughters, home by 3-4pm.</t>
        </is>
      </c>
    </row>
    <row r="70" ht="30.75" customHeight="1" s="37">
      <c r="A70" s="67" t="inlineStr">
        <is>
          <t>Rainmaker</t>
        </is>
      </c>
      <c r="B70" s="64" t="inlineStr">
        <is>
          <t>3-5 activities that drive most revenue. Cochrane: weekly podcast + coaching inner-circle + monthly $10k-offer challenge. Everything else gets E-A-D.</t>
        </is>
      </c>
    </row>
    <row r="71" ht="30.75" customHeight="1" s="37">
      <c r="A71" s="67" t="inlineStr">
        <is>
          <t>Reflection</t>
        </is>
      </c>
      <c r="B71" s="64" t="inlineStr">
        <is>
          <t>Mondays = thinking day. No coaching/creating/selling. Read, journal, plan. "We don't learn from experiences, we learn from reflecting on them." (Rich Litvin)</t>
        </is>
      </c>
    </row>
    <row r="72" ht="30.75" customHeight="1" s="37">
      <c r="A72" s="67" t="inlineStr">
        <is>
          <t>EAD framework (Tim Ferriss)</t>
        </is>
      </c>
      <c r="B72" s="64" t="inlineStr">
        <is>
          <t>Eliminate (don't do it at all) -&gt; Automate (software/AI) -&gt; Delegate (hire). In that order. Audit every subtask. Star the ones requiring your face/voice/genius — outsource everything else.</t>
        </is>
      </c>
    </row>
    <row r="73" ht="45.75" customHeight="1" s="37">
      <c r="A73" s="67" t="inlineStr">
        <is>
          <t>Parkinson's law</t>
        </is>
      </c>
      <c r="B73" s="64" t="inlineStr">
        <is>
          <t>Give yourself less time. Cochrane: 1 hr/week to record 45-min podcast. Email checked once/day. Themed days: content / coaching / admin. 90-min focused sprints with breaks. No meetings before noon.</t>
        </is>
      </c>
    </row>
    <row r="74" ht="15" customHeight="1" s="37">
      <c r="A74" s="65" t="n"/>
      <c r="B74" s="65" t="n"/>
    </row>
    <row r="75" ht="18" customHeight="1" s="37">
      <c r="A75" s="66" t="inlineStr">
        <is>
          <t>Application — Ami's Two Plays</t>
        </is>
      </c>
      <c r="B75" s="65" t="n"/>
    </row>
    <row r="76" ht="75.75" customHeight="1" s="37">
      <c r="A76" s="67" t="inlineStr">
        <is>
          <t>Play A — Antelope/EOSIO Dev Course</t>
        </is>
      </c>
      <c r="B76" s="64" t="inlineStr">
        <is>
          <t>Client Magnet: weekly 30-45 min YouTube on Antelope smart-contract dev. Persona = ONE person (e.g. "junior Solidity dev curious about WAX/Telos/Vaulta"). Magic Offer: $5k-$10k cohort "Ship Your First Antelope Smart Contract in 60 Days" (NOT a $199 self-paced course as primary — that is the "Needy" quadrant). Enrollment: paid 5-day challenge ($97) -&gt; cohort pitch on day 5. Tier the projection downward: drop the $199 tier, keep $599 only as on-ramp, push $1999+ as flagship.</t>
        </is>
      </c>
    </row>
    <row r="77" ht="75.75" customHeight="1" s="37">
      <c r="A77" s="67" t="inlineStr">
        <is>
          <t>Play B — RE Wire-Fraud / Doc-Trail SaaS</t>
        </is>
      </c>
      <c r="B77" s="64" t="inlineStr">
        <is>
          <t>Pure Cochrane model is for experts/coaches; SaaS is structurally different. BUT apply 1/10 rule: avg US wire-fraud loss ~$200k+ per incident -&gt; charge $20k-$30k/yr/firm, not $5k. Client Magnet: weekly long-form for title-company / RE-broker compliance officers ("Title Insider"-style podcast). Magic Offer: $25k/yr enterprise + $10k-$25k onboarding per firm. Enrollment: paid half-day compliance workshop ($297) -&gt; SaaS pitch. Treat SaaS like a coaching offer with software, not a self-serve PLG product.</t>
        </is>
      </c>
    </row>
    <row r="78" ht="60.75" customHeight="1" s="37">
      <c r="A78" s="67" t="inlineStr">
        <is>
          <t>Compatibility warning</t>
        </is>
      </c>
      <c r="B78" s="64" t="inlineStr">
        <is>
          <t>Run BOTH plays simultaneously = complexity trap (Cochrane killed 23 courses + 2 memberships down to 1 magic offer). Recommendation: sequence them. Antelope course first (your existing skill, faster to ship, lower stakes). RE SaaS second (longer enterprise sales cycle, regulated buyers). Different audiences = different magnets = different brands.</t>
        </is>
      </c>
    </row>
    <row r="79" ht="15" customHeight="1" s="37">
      <c r="A79" s="65" t="n"/>
      <c r="B79" s="65" t="n"/>
    </row>
    <row r="80" ht="18" customHeight="1" s="37">
      <c r="A80" s="66" t="inlineStr">
        <is>
          <t>Key Differences from Books 1 &amp; 2</t>
        </is>
      </c>
      <c r="B80" s="65" t="n"/>
    </row>
    <row r="81" ht="30.75" customHeight="1" s="37">
      <c r="A81" s="67" t="inlineStr">
        <is>
          <t>Pricing floor moves UP</t>
        </is>
      </c>
      <c r="B81" s="64" t="inlineStr">
        <is>
          <t>Books 1-2: $97-$997 tiers. Book 3: minimum $5k, target $10k-$100k. Driver: 64/4 rule + the math that 100 sales/yr is dramatically easier than 10,000 sales/yr.</t>
        </is>
      </c>
    </row>
    <row r="82" ht="30.75" customHeight="1" s="37">
      <c r="A82" s="67" t="inlineStr">
        <is>
          <t>No 1-on-1 sales calls</t>
        </is>
      </c>
      <c r="B82" s="64" t="inlineStr">
        <is>
          <t>Books 1-2 did not emphasize this. Book 3: replace discovery calls with paid virtual events. Reasoning: calls are 1:1 (low leverage) + create pressure for both parties + you can only sell once per call.</t>
        </is>
      </c>
    </row>
    <row r="83" ht="30.75" customHeight="1" s="37">
      <c r="A83" s="62" t="inlineStr">
        <is>
          <t>Energy &gt; Time</t>
        </is>
      </c>
      <c r="B83" s="64" t="inlineStr">
        <is>
          <t>"Time is not your most limited resource — energy is." Energy audit (drainers vs. givers) + Dream Week wheel replaces conventional time-blocking productivity advice.</t>
        </is>
      </c>
    </row>
    <row r="84" ht="30.75" customHeight="1" s="37">
      <c r="A84" s="62" t="inlineStr">
        <is>
          <t>Faith chapter</t>
        </is>
      </c>
      <c r="B84" s="64" t="inlineStr">
        <is>
          <t>Final chapter is explicitly Christian (Moses/Exodus narrative, prayer practice, Matthew 11:28-30). Filter as needed; the business framework stands without it.</t>
        </is>
      </c>
    </row>
    <row r="85" ht="15" customHeight="1" s="37">
      <c r="B85" s="6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12" activeCellId="0" sqref="H12"/>
    </sheetView>
  </sheetViews>
  <sheetFormatPr baseColWidth="8" defaultColWidth="8.87890625" defaultRowHeight="15" zeroHeight="0" outlineLevelRow="0"/>
  <cols>
    <col width="39.25" customWidth="1" style="36" min="1" max="1"/>
    <col width="16.52" customWidth="1" style="36" min="2" max="2"/>
    <col width="61.97" customWidth="1" style="36" min="3" max="3"/>
  </cols>
  <sheetData>
    <row r="1" ht="19.5" customHeight="1" s="37">
      <c r="A1" s="57" t="inlineStr">
        <is>
          <t>US RE-company TAM  (Total Addressable Market) (sizing the SaaS opportunity)</t>
        </is>
      </c>
    </row>
    <row r="3" ht="15.75" customHeight="1" s="37">
      <c r="A3" s="68" t="inlineStr">
        <is>
          <t>Segment</t>
        </is>
      </c>
      <c r="B3" s="68" t="inlineStr">
        <is>
          <t>US count (≈)</t>
        </is>
      </c>
      <c r="C3" s="68" t="inlineStr">
        <is>
          <t>Wire-fraud / e-signature fit</t>
        </is>
      </c>
    </row>
    <row r="4" ht="15.75" customHeight="1" s="37">
      <c r="A4" s="60" t="inlineStr">
        <is>
          <t>Title insurance / settlement services</t>
        </is>
      </c>
      <c r="B4" s="69" t="n">
        <v>6500</v>
      </c>
      <c r="C4" s="60" t="inlineStr">
        <is>
          <t>Highest — handle closing wire transfers</t>
        </is>
      </c>
    </row>
    <row r="5" ht="15.75" customHeight="1" s="37">
      <c r="A5" s="60" t="inlineStr">
        <is>
          <t>Real estate attorneys (closings)</t>
        </is>
      </c>
      <c r="B5" s="69" t="n">
        <v>30000</v>
      </c>
      <c r="C5" s="60" t="inlineStr">
        <is>
          <t>High — escrow + signed disclosures</t>
        </is>
      </c>
    </row>
    <row r="6" ht="15.75" customHeight="1" s="37">
      <c r="A6" s="60" t="inlineStr">
        <is>
          <t>Mortgage lenders / brokers</t>
        </is>
      </c>
      <c r="B6" s="69" t="n">
        <v>12500</v>
      </c>
      <c r="C6" s="60" t="inlineStr">
        <is>
          <t>High — closing docs + wire instructions</t>
        </is>
      </c>
    </row>
    <row r="7" ht="15.75" customHeight="1" s="37">
      <c r="A7" s="60" t="inlineStr">
        <is>
          <t>Real estate brokerages</t>
        </is>
      </c>
      <c r="B7" s="69" t="n">
        <v>100000</v>
      </c>
      <c r="C7" s="60" t="inlineStr">
        <is>
          <t>Medium — disclosures, listing agreements</t>
        </is>
      </c>
    </row>
    <row r="8" ht="15.75" customHeight="1" s="37">
      <c r="A8" s="60" t="inlineStr">
        <is>
          <t>Property management companies</t>
        </is>
      </c>
      <c r="B8" s="69" t="n">
        <v>25000</v>
      </c>
      <c r="C8" s="60" t="inlineStr">
        <is>
          <t>Medium — leases, security deposits</t>
        </is>
      </c>
    </row>
    <row r="9" ht="15.75" customHeight="1" s="37">
      <c r="A9" s="60" t="inlineStr">
        <is>
          <t>Real estate developers</t>
        </is>
      </c>
      <c r="B9" s="69" t="n">
        <v>10000</v>
      </c>
      <c r="C9" s="60" t="inlineStr">
        <is>
          <t>Medium — purchase agreements</t>
        </is>
      </c>
    </row>
    <row r="11" ht="15.75" customHeight="1" s="37">
      <c r="A11" s="38" t="inlineStr">
        <is>
          <t>Prime TAM (title + attorneys + lenders)</t>
        </is>
      </c>
      <c r="B11" s="70">
        <f>B4+B5+B6</f>
        <v/>
      </c>
      <c r="C11" s="60" t="inlineStr">
        <is>
          <t>Orgs that actually move closing funds</t>
        </is>
      </c>
    </row>
    <row r="12" ht="15.75" customHeight="1" s="37">
      <c r="A12" s="38" t="inlineStr">
        <is>
          <t>Wider TAM (any RE doc-signing audit need)</t>
        </is>
      </c>
      <c r="B12" s="70">
        <f>SUM(B4:B9)</f>
        <v/>
      </c>
      <c r="C12" s="60" t="inlineStr">
        <is>
          <t>All segments above combined</t>
        </is>
      </c>
    </row>
    <row r="15" ht="18" customHeight="1" s="37">
      <c r="A15" s="71" t="inlineStr">
        <is>
          <t>Penetration check</t>
        </is>
      </c>
    </row>
    <row r="16" ht="15.75" customHeight="1" s="37">
      <c r="A16" s="38" t="inlineStr">
        <is>
          <t>Active SaaS customers (M36)</t>
        </is>
      </c>
      <c r="B16" s="69">
        <f>'Ami — Projection'!AK46</f>
        <v/>
      </c>
      <c r="C16" s="60" t="inlineStr">
        <is>
          <t>From Projection sheet — final-month active SaaS count</t>
        </is>
      </c>
    </row>
    <row r="17" ht="15.75" customHeight="1" s="37">
      <c r="A17" s="38" t="inlineStr">
        <is>
          <t>% of prime TAM</t>
        </is>
      </c>
      <c r="B17" s="72">
        <f>B16/B11</f>
        <v/>
      </c>
      <c r="C17" s="60" t="inlineStr">
        <is>
          <t>Conservative — 1% of prime TAM = ~465 customers</t>
        </is>
      </c>
    </row>
    <row r="18" ht="15" customHeight="1" s="37">
      <c r="A18" s="38" t="inlineStr">
        <is>
          <t>% of wider TAM</t>
        </is>
      </c>
      <c r="B18" s="72">
        <f>B16/B12</f>
        <v/>
      </c>
      <c r="C18" s="60" t="n"/>
    </row>
    <row r="20" ht="18" customHeight="1" s="37">
      <c r="A20" s="71" t="inlineStr">
        <is>
          <t>Risk anchor for pricing</t>
        </is>
      </c>
    </row>
    <row r="21" ht="30.75" customHeight="1" s="37">
      <c r="A21" s="59" t="inlineStr">
        <is>
          <t>FBI IC3 — RE-related wire fraud losses</t>
        </is>
      </c>
      <c r="B21" s="73" t="inlineStr">
        <is>
          <t>$400M+ / year</t>
        </is>
      </c>
      <c r="C21" s="60" t="inlineStr">
        <is>
          <t>Annual industry-wide loss reported by the FBI Internet Crime Complaint Center.</t>
        </is>
      </c>
    </row>
    <row r="22" ht="30.75" customHeight="1" s="37">
      <c r="A22" s="59" t="inlineStr">
        <is>
          <t>Average per-incident loss</t>
        </is>
      </c>
      <c r="B22" s="73" t="inlineStr">
        <is>
          <t>$300k – $800k</t>
        </is>
      </c>
      <c r="C22" s="60" t="inlineStr">
        <is>
          <t>Range from FBI / ALTA reporting. A single fraud event can exceed a small firm's annual revenue.</t>
        </is>
      </c>
    </row>
    <row r="23" ht="15.75" customHeight="1" s="37">
      <c r="A23" s="59" t="inlineStr">
        <is>
          <t>Typical small firm closings / month</t>
        </is>
      </c>
      <c r="B23" s="73" t="inlineStr">
        <is>
          <t>5 – 20</t>
        </is>
      </c>
      <c r="C23" s="60" t="inlineStr">
        <is>
          <t>Title + attorney shops; each closing is a wire-fraud risk surface.</t>
        </is>
      </c>
    </row>
    <row r="24" ht="30.75" customHeight="1" s="37">
      <c r="A24" s="59" t="inlineStr">
        <is>
          <t>Annual exposure for an active firm</t>
        </is>
      </c>
      <c r="B24" s="73" t="inlineStr">
        <is>
          <t>high six figures</t>
        </is>
      </c>
      <c r="C24" s="60" t="inlineStr">
        <is>
          <t>Volume × per-incident loss × small probability still nets a six-figure expected-loss number for busy firms.</t>
        </is>
      </c>
    </row>
    <row r="25" ht="30.75" customHeight="1" s="37">
      <c r="A25" s="59" t="inlineStr">
        <is>
          <t>Pricing rule (Ami)</t>
        </is>
      </c>
      <c r="B25" s="73" t="inlineStr">
        <is>
          <t>≈ 1/10 of annual loss exposure</t>
        </is>
      </c>
      <c r="C25" s="60" t="inlineStr">
        <is>
          <t>Phase 2 plan locks $25,000/yr/firm flat (target small/mid title firms). Anchor = 1/10 of avg per-firm wire-fraud exposure. Edit B22 in Projection sheet to tune.</t>
        </is>
      </c>
    </row>
    <row r="27" ht="18" customHeight="1" s="37">
      <c r="A27" s="71" t="inlineStr">
        <is>
          <t>Caveats</t>
        </is>
      </c>
    </row>
    <row r="28" ht="30.75" customHeight="1" s="37">
      <c r="A28" s="60" t="inlineStr">
        <is>
          <t>Counts are rough order-of-magnitude estimates compiled from public sources (NAR, ALTA, IBISWorld categories, FBI IC3 reports). Verify before pitching investors.</t>
        </is>
      </c>
    </row>
  </sheetData>
  <mergeCells count="1">
    <mergeCell ref="A28:C2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K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6" topLeftCell="B17" activePane="bottomRight" state="frozen"/>
      <selection pane="topLeft" activeCell="A1" activeCellId="0" sqref="A1"/>
      <selection pane="topRight" activeCell="B1" activeCellId="0" sqref="B1"/>
      <selection pane="bottomLeft" activeCell="A17" activeCellId="0" sqref="A17"/>
      <selection pane="bottomRight" activeCell="A1" activeCellId="0" sqref="A1"/>
    </sheetView>
  </sheetViews>
  <sheetFormatPr baseColWidth="8" defaultColWidth="8.87890625" defaultRowHeight="15" zeroHeight="0" outlineLevelRow="0"/>
  <cols>
    <col width="43.38" customWidth="1" style="36" min="1" max="1"/>
    <col width="13.43" customWidth="1" style="36" min="2" max="37"/>
  </cols>
  <sheetData>
    <row r="1" ht="15" customHeight="1" s="37">
      <c r="A1" s="74" t="inlineStr">
        <is>
          <t>ASSUMPTIONS (edit yellow cells)</t>
        </is>
      </c>
    </row>
    <row r="2" ht="15" customHeight="1" s="37">
      <c r="A2" s="38" t="inlineStr">
        <is>
          <t>Engineer fully loaded cost / month</t>
        </is>
      </c>
      <c r="B2" s="75" t="n">
        <v>25000</v>
      </c>
      <c r="C2" s="76" t="inlineStr">
        <is>
          <t>$/month</t>
        </is>
      </c>
    </row>
    <row r="3" ht="15" customHeight="1" s="37">
      <c r="A3" s="38" t="inlineStr">
        <is>
          <t>Salesperson fully loaded cost / month</t>
        </is>
      </c>
      <c r="B3" s="75" t="n">
        <v>16000</v>
      </c>
      <c r="C3" s="76" t="inlineStr">
        <is>
          <t>$/month</t>
        </is>
      </c>
    </row>
    <row r="4" ht="15" customHeight="1" s="37">
      <c r="A4" s="38" t="inlineStr">
        <is>
          <t>Customer-success fully loaded cost / mo</t>
        </is>
      </c>
      <c r="B4" s="75" t="n">
        <v>10000</v>
      </c>
      <c r="C4" s="76" t="inlineStr">
        <is>
          <t>$/month</t>
        </is>
      </c>
    </row>
    <row r="5" ht="15" customHeight="1" s="37">
      <c r="A5" s="38" t="inlineStr">
        <is>
          <t>Admin fully loaded cost / month</t>
        </is>
      </c>
      <c r="B5" s="75" t="n">
        <v>9000</v>
      </c>
      <c r="C5" s="76" t="inlineStr">
        <is>
          <t>$/month</t>
        </is>
      </c>
    </row>
    <row r="6" ht="15" customHeight="1" s="37">
      <c r="A6" s="38" t="inlineStr">
        <is>
          <t>Founder cost / month</t>
        </is>
      </c>
      <c r="B6" s="75" t="n">
        <v>8000</v>
      </c>
      <c r="C6" s="76" t="inlineStr">
        <is>
          <t>$/month</t>
        </is>
      </c>
    </row>
    <row r="7" ht="15" customHeight="1" s="37">
      <c r="A7" s="38" t="inlineStr">
        <is>
          <t>Salaries as % of total expenses</t>
        </is>
      </c>
      <c r="B7" s="77" t="n">
        <v>0.7</v>
      </c>
      <c r="C7" s="76" t="inlineStr">
        <is>
          <t>rest is overhead/SaaS/etc</t>
        </is>
      </c>
    </row>
    <row r="8" ht="15" customHeight="1" s="37">
      <c r="A8" s="38" t="inlineStr">
        <is>
          <t>License fee / customer / year</t>
        </is>
      </c>
      <c r="B8" s="75" t="n">
        <v>12000</v>
      </c>
      <c r="C8" s="76" t="inlineStr">
        <is>
          <t>$</t>
        </is>
      </c>
    </row>
    <row r="9" ht="15" customHeight="1" s="37">
      <c r="A9" s="38" t="inlineStr">
        <is>
          <t>Annual attrition rate</t>
        </is>
      </c>
      <c r="B9" s="77" t="n">
        <v>0.1</v>
      </c>
      <c r="C9" s="76" t="inlineStr">
        <is>
          <t>fraction not renewing</t>
        </is>
      </c>
    </row>
    <row r="10" ht="15" customHeight="1" s="37">
      <c r="A10" s="38" t="inlineStr">
        <is>
          <t>1 new-account salesperson generates</t>
        </is>
      </c>
      <c r="B10" s="75" t="n">
        <v>5</v>
      </c>
      <c r="C10" s="76" t="inlineStr">
        <is>
          <t>new customers / month</t>
        </is>
      </c>
    </row>
    <row r="11" ht="15" customHeight="1" s="37">
      <c r="A11" s="38" t="inlineStr">
        <is>
          <t>1 existing-account salesperson supports</t>
        </is>
      </c>
      <c r="B11" s="75" t="n">
        <v>50</v>
      </c>
      <c r="C11" s="76" t="inlineStr">
        <is>
          <t>active customers</t>
        </is>
      </c>
    </row>
    <row r="12" ht="15" customHeight="1" s="37">
      <c r="A12" s="38" t="inlineStr">
        <is>
          <t>1 customer-success person supports</t>
        </is>
      </c>
      <c r="B12" s="75" t="n">
        <v>80</v>
      </c>
      <c r="C12" s="76" t="inlineStr">
        <is>
          <t>active customers</t>
        </is>
      </c>
    </row>
    <row r="13" ht="15" customHeight="1" s="37">
      <c r="A13" s="38" t="inlineStr">
        <is>
          <t>Initial investment</t>
        </is>
      </c>
      <c r="B13" s="75" t="n">
        <v>1500000</v>
      </c>
      <c r="C13" s="76" t="inlineStr">
        <is>
          <t>$ — offsets aggregate P/L</t>
        </is>
      </c>
    </row>
    <row r="15" ht="15" customHeight="1" s="37">
      <c r="A15" s="38" t="inlineStr">
        <is>
          <t>Year</t>
        </is>
      </c>
      <c r="B15" s="78" t="inlineStr">
        <is>
          <t>Year 1</t>
        </is>
      </c>
      <c r="C15" s="79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80" t="n"/>
      <c r="N15" s="78" t="inlineStr">
        <is>
          <t>Year 2</t>
        </is>
      </c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80" t="n"/>
      <c r="Z15" s="78" t="inlineStr">
        <is>
          <t>Year 3</t>
        </is>
      </c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80" t="n"/>
    </row>
    <row r="16" ht="15" customHeight="1" s="37">
      <c r="A16" s="38" t="inlineStr">
        <is>
          <t>Month</t>
        </is>
      </c>
      <c r="B16" s="81" t="inlineStr">
        <is>
          <t>Jan</t>
        </is>
      </c>
      <c r="C16" s="81" t="inlineStr">
        <is>
          <t>Feb</t>
        </is>
      </c>
      <c r="D16" s="81" t="inlineStr">
        <is>
          <t>Mar</t>
        </is>
      </c>
      <c r="E16" s="81" t="inlineStr">
        <is>
          <t>Apr</t>
        </is>
      </c>
      <c r="F16" s="81" t="inlineStr">
        <is>
          <t>May</t>
        </is>
      </c>
      <c r="G16" s="81" t="inlineStr">
        <is>
          <t>Jun</t>
        </is>
      </c>
      <c r="H16" s="81" t="inlineStr">
        <is>
          <t>Jul</t>
        </is>
      </c>
      <c r="I16" s="81" t="inlineStr">
        <is>
          <t>Aug</t>
        </is>
      </c>
      <c r="J16" s="81" t="inlineStr">
        <is>
          <t>Sep</t>
        </is>
      </c>
      <c r="K16" s="81" t="inlineStr">
        <is>
          <t>Oct</t>
        </is>
      </c>
      <c r="L16" s="81" t="inlineStr">
        <is>
          <t>Nov</t>
        </is>
      </c>
      <c r="M16" s="81" t="inlineStr">
        <is>
          <t>Dec</t>
        </is>
      </c>
      <c r="N16" s="81" t="inlineStr">
        <is>
          <t>Jan</t>
        </is>
      </c>
      <c r="O16" s="81" t="inlineStr">
        <is>
          <t>Feb</t>
        </is>
      </c>
      <c r="P16" s="81" t="inlineStr">
        <is>
          <t>Mar</t>
        </is>
      </c>
      <c r="Q16" s="81" t="inlineStr">
        <is>
          <t>Apr</t>
        </is>
      </c>
      <c r="R16" s="81" t="inlineStr">
        <is>
          <t>May</t>
        </is>
      </c>
      <c r="S16" s="81" t="inlineStr">
        <is>
          <t>Jun</t>
        </is>
      </c>
      <c r="T16" s="81" t="inlineStr">
        <is>
          <t>Jul</t>
        </is>
      </c>
      <c r="U16" s="81" t="inlineStr">
        <is>
          <t>Aug</t>
        </is>
      </c>
      <c r="V16" s="81" t="inlineStr">
        <is>
          <t>Sep</t>
        </is>
      </c>
      <c r="W16" s="81" t="inlineStr">
        <is>
          <t>Oct</t>
        </is>
      </c>
      <c r="X16" s="81" t="inlineStr">
        <is>
          <t>Nov</t>
        </is>
      </c>
      <c r="Y16" s="81" t="inlineStr">
        <is>
          <t>Dec</t>
        </is>
      </c>
      <c r="Z16" s="81" t="inlineStr">
        <is>
          <t>Jan</t>
        </is>
      </c>
      <c r="AA16" s="81" t="inlineStr">
        <is>
          <t>Feb</t>
        </is>
      </c>
      <c r="AB16" s="81" t="inlineStr">
        <is>
          <t>Mar</t>
        </is>
      </c>
      <c r="AC16" s="81" t="inlineStr">
        <is>
          <t>Apr</t>
        </is>
      </c>
      <c r="AD16" s="81" t="inlineStr">
        <is>
          <t>May</t>
        </is>
      </c>
      <c r="AE16" s="81" t="inlineStr">
        <is>
          <t>Jun</t>
        </is>
      </c>
      <c r="AF16" s="81" t="inlineStr">
        <is>
          <t>Jul</t>
        </is>
      </c>
      <c r="AG16" s="81" t="inlineStr">
        <is>
          <t>Aug</t>
        </is>
      </c>
      <c r="AH16" s="81" t="inlineStr">
        <is>
          <t>Sep</t>
        </is>
      </c>
      <c r="AI16" s="81" t="inlineStr">
        <is>
          <t>Oct</t>
        </is>
      </c>
      <c r="AJ16" s="81" t="inlineStr">
        <is>
          <t>Nov</t>
        </is>
      </c>
      <c r="AK16" s="81" t="inlineStr">
        <is>
          <t>Dec</t>
        </is>
      </c>
    </row>
    <row r="17" ht="15" customHeight="1" s="37">
      <c r="A17" s="38" t="inlineStr">
        <is>
          <t>Number of new customers</t>
        </is>
      </c>
      <c r="B17" s="82" t="n">
        <v>3</v>
      </c>
      <c r="C17" s="82" t="n">
        <v>4</v>
      </c>
      <c r="D17" s="82" t="n">
        <v>5</v>
      </c>
      <c r="E17" s="82" t="n">
        <v>6</v>
      </c>
      <c r="F17" s="82" t="n">
        <v>7</v>
      </c>
      <c r="G17" s="82" t="n">
        <v>8</v>
      </c>
      <c r="H17" s="82" t="n">
        <v>9</v>
      </c>
      <c r="I17" s="82" t="n">
        <v>10</v>
      </c>
      <c r="J17" s="82" t="n">
        <v>11</v>
      </c>
      <c r="K17" s="82" t="n">
        <v>12</v>
      </c>
      <c r="L17" s="82" t="n">
        <v>13</v>
      </c>
      <c r="M17" s="82" t="n">
        <v>14</v>
      </c>
      <c r="N17" s="82" t="n">
        <v>15</v>
      </c>
      <c r="O17" s="82" t="n">
        <v>16</v>
      </c>
      <c r="P17" s="82" t="n">
        <v>17</v>
      </c>
      <c r="Q17" s="82" t="n">
        <v>18</v>
      </c>
      <c r="R17" s="82" t="n">
        <v>19</v>
      </c>
      <c r="S17" s="82" t="n">
        <v>20</v>
      </c>
      <c r="T17" s="82" t="n">
        <v>21</v>
      </c>
      <c r="U17" s="82" t="n">
        <v>22</v>
      </c>
      <c r="V17" s="82" t="n">
        <v>23</v>
      </c>
      <c r="W17" s="82" t="n">
        <v>24</v>
      </c>
      <c r="X17" s="82" t="n">
        <v>25</v>
      </c>
      <c r="Y17" s="82" t="n">
        <v>26</v>
      </c>
      <c r="Z17" s="82" t="n">
        <v>27</v>
      </c>
      <c r="AA17" s="82" t="n">
        <v>28</v>
      </c>
      <c r="AB17" s="82" t="n">
        <v>29</v>
      </c>
      <c r="AC17" s="82" t="n">
        <v>30</v>
      </c>
      <c r="AD17" s="82" t="n">
        <v>31</v>
      </c>
      <c r="AE17" s="82" t="n">
        <v>32</v>
      </c>
      <c r="AF17" s="82" t="n">
        <v>33</v>
      </c>
      <c r="AG17" s="82" t="n">
        <v>34</v>
      </c>
      <c r="AH17" s="82" t="n">
        <v>35</v>
      </c>
      <c r="AI17" s="82" t="n">
        <v>36</v>
      </c>
      <c r="AJ17" s="82" t="n">
        <v>37</v>
      </c>
      <c r="AK17" s="82" t="n">
        <v>38</v>
      </c>
    </row>
    <row r="18" ht="15" customHeight="1" s="37">
      <c r="A18" s="38" t="inlineStr">
        <is>
          <t>Number of renewing customers</t>
        </is>
      </c>
      <c r="B18" s="83" t="n">
        <v>0</v>
      </c>
      <c r="C18" s="83" t="n">
        <v>0</v>
      </c>
      <c r="D18" s="83" t="n">
        <v>0</v>
      </c>
      <c r="E18" s="83" t="n">
        <v>0</v>
      </c>
      <c r="F18" s="83" t="n">
        <v>0</v>
      </c>
      <c r="G18" s="83" t="n">
        <v>0</v>
      </c>
      <c r="H18" s="83" t="n">
        <v>0</v>
      </c>
      <c r="I18" s="83" t="n">
        <v>0</v>
      </c>
      <c r="J18" s="83" t="n">
        <v>0</v>
      </c>
      <c r="K18" s="83" t="n">
        <v>0</v>
      </c>
      <c r="L18" s="83" t="n">
        <v>0</v>
      </c>
      <c r="M18" s="83" t="n">
        <v>0</v>
      </c>
      <c r="N18" s="83">
        <f>(B17+B18)*(1-$B$9)</f>
        <v/>
      </c>
      <c r="O18" s="83">
        <f>(C17+C18)*(1-$B$9)</f>
        <v/>
      </c>
      <c r="P18" s="83">
        <f>(D17+D18)*(1-$B$9)</f>
        <v/>
      </c>
      <c r="Q18" s="83">
        <f>(E17+E18)*(1-$B$9)</f>
        <v/>
      </c>
      <c r="R18" s="83">
        <f>(F17+F18)*(1-$B$9)</f>
        <v/>
      </c>
      <c r="S18" s="83">
        <f>(G17+G18)*(1-$B$9)</f>
        <v/>
      </c>
      <c r="T18" s="83">
        <f>(H17+H18)*(1-$B$9)</f>
        <v/>
      </c>
      <c r="U18" s="83">
        <f>(I17+I18)*(1-$B$9)</f>
        <v/>
      </c>
      <c r="V18" s="83">
        <f>(J17+J18)*(1-$B$9)</f>
        <v/>
      </c>
      <c r="W18" s="83">
        <f>(K17+K18)*(1-$B$9)</f>
        <v/>
      </c>
      <c r="X18" s="83">
        <f>(L17+L18)*(1-$B$9)</f>
        <v/>
      </c>
      <c r="Y18" s="83">
        <f>(M17+M18)*(1-$B$9)</f>
        <v/>
      </c>
      <c r="Z18" s="83">
        <f>(N17+N18)*(1-$B$9)</f>
        <v/>
      </c>
      <c r="AA18" s="83">
        <f>(O17+O18)*(1-$B$9)</f>
        <v/>
      </c>
      <c r="AB18" s="83">
        <f>(P17+P18)*(1-$B$9)</f>
        <v/>
      </c>
      <c r="AC18" s="83">
        <f>(Q17+Q18)*(1-$B$9)</f>
        <v/>
      </c>
      <c r="AD18" s="83">
        <f>(R17+R18)*(1-$B$9)</f>
        <v/>
      </c>
      <c r="AE18" s="83">
        <f>(S17+S18)*(1-$B$9)</f>
        <v/>
      </c>
      <c r="AF18" s="83">
        <f>(T17+T18)*(1-$B$9)</f>
        <v/>
      </c>
      <c r="AG18" s="83">
        <f>(U17+U18)*(1-$B$9)</f>
        <v/>
      </c>
      <c r="AH18" s="83">
        <f>(V17+V18)*(1-$B$9)</f>
        <v/>
      </c>
      <c r="AI18" s="83">
        <f>(W17+W18)*(1-$B$9)</f>
        <v/>
      </c>
      <c r="AJ18" s="83">
        <f>(X17+X18)*(1-$B$9)</f>
        <v/>
      </c>
      <c r="AK18" s="83">
        <f>(Y17+Y18)*(1-$B$9)</f>
        <v/>
      </c>
    </row>
    <row r="19" ht="15" customHeight="1" s="37">
      <c r="A19" s="38" t="inlineStr">
        <is>
          <t>Total number of customers</t>
        </is>
      </c>
      <c r="B19" s="83">
        <f>B17+B18</f>
        <v/>
      </c>
      <c r="C19" s="83">
        <f>B19+C17</f>
        <v/>
      </c>
      <c r="D19" s="83">
        <f>C19+D17</f>
        <v/>
      </c>
      <c r="E19" s="83">
        <f>D19+E17</f>
        <v/>
      </c>
      <c r="F19" s="83">
        <f>E19+F17</f>
        <v/>
      </c>
      <c r="G19" s="83">
        <f>F19+G17</f>
        <v/>
      </c>
      <c r="H19" s="83">
        <f>G19+H17</f>
        <v/>
      </c>
      <c r="I19" s="83">
        <f>H19+I17</f>
        <v/>
      </c>
      <c r="J19" s="83">
        <f>I19+J17</f>
        <v/>
      </c>
      <c r="K19" s="83">
        <f>J19+K17</f>
        <v/>
      </c>
      <c r="L19" s="83">
        <f>K19+L17</f>
        <v/>
      </c>
      <c r="M19" s="83">
        <f>L19+M17</f>
        <v/>
      </c>
      <c r="N19" s="83">
        <f>M19+N17-(B17+B18)*$B$9</f>
        <v/>
      </c>
      <c r="O19" s="83">
        <f>N19+O17-(C17+C18)*$B$9</f>
        <v/>
      </c>
      <c r="P19" s="83">
        <f>O19+P17-(D17+D18)*$B$9</f>
        <v/>
      </c>
      <c r="Q19" s="83">
        <f>P19+Q17-(E17+E18)*$B$9</f>
        <v/>
      </c>
      <c r="R19" s="83">
        <f>Q19+R17-(F17+F18)*$B$9</f>
        <v/>
      </c>
      <c r="S19" s="83">
        <f>R19+S17-(G17+G18)*$B$9</f>
        <v/>
      </c>
      <c r="T19" s="83">
        <f>S19+T17-(H17+H18)*$B$9</f>
        <v/>
      </c>
      <c r="U19" s="83">
        <f>T19+U17-(I17+I18)*$B$9</f>
        <v/>
      </c>
      <c r="V19" s="83">
        <f>U19+V17-(J17+J18)*$B$9</f>
        <v/>
      </c>
      <c r="W19" s="83">
        <f>V19+W17-(K17+K18)*$B$9</f>
        <v/>
      </c>
      <c r="X19" s="83">
        <f>W19+X17-(L17+L18)*$B$9</f>
        <v/>
      </c>
      <c r="Y19" s="83">
        <f>X19+Y17-(M17+M18)*$B$9</f>
        <v/>
      </c>
      <c r="Z19" s="83">
        <f>Y19+Z17-(N17+N18)*$B$9</f>
        <v/>
      </c>
      <c r="AA19" s="83">
        <f>Z19+AA17-(O17+O18)*$B$9</f>
        <v/>
      </c>
      <c r="AB19" s="83">
        <f>AA19+AB17-(P17+P18)*$B$9</f>
        <v/>
      </c>
      <c r="AC19" s="83">
        <f>AB19+AC17-(Q17+Q18)*$B$9</f>
        <v/>
      </c>
      <c r="AD19" s="83">
        <f>AC19+AD17-(R17+R18)*$B$9</f>
        <v/>
      </c>
      <c r="AE19" s="83">
        <f>AD19+AE17-(S17+S18)*$B$9</f>
        <v/>
      </c>
      <c r="AF19" s="83">
        <f>AE19+AF17-(T17+T18)*$B$9</f>
        <v/>
      </c>
      <c r="AG19" s="83">
        <f>AF19+AG17-(U17+U18)*$B$9</f>
        <v/>
      </c>
      <c r="AH19" s="83">
        <f>AG19+AH17-(V17+V18)*$B$9</f>
        <v/>
      </c>
      <c r="AI19" s="83">
        <f>AH19+AI17-(W17+W18)*$B$9</f>
        <v/>
      </c>
      <c r="AJ19" s="83">
        <f>AI19+AJ17-(X17+X18)*$B$9</f>
        <v/>
      </c>
      <c r="AK19" s="83">
        <f>AJ19+AK17-(Y17+Y18)*$B$9</f>
        <v/>
      </c>
    </row>
    <row r="20" ht="15" customHeight="1" s="37">
      <c r="A20" s="38" t="inlineStr">
        <is>
          <t>Revenue</t>
        </is>
      </c>
      <c r="B20" s="84">
        <f>B19*$B$8/12</f>
        <v/>
      </c>
      <c r="C20" s="84">
        <f>C19*$B$8/12</f>
        <v/>
      </c>
      <c r="D20" s="84">
        <f>D19*$B$8/12</f>
        <v/>
      </c>
      <c r="E20" s="84">
        <f>E19*$B$8/12</f>
        <v/>
      </c>
      <c r="F20" s="84">
        <f>F19*$B$8/12</f>
        <v/>
      </c>
      <c r="G20" s="84">
        <f>G19*$B$8/12</f>
        <v/>
      </c>
      <c r="H20" s="84">
        <f>H19*$B$8/12</f>
        <v/>
      </c>
      <c r="I20" s="84">
        <f>I19*$B$8/12</f>
        <v/>
      </c>
      <c r="J20" s="84">
        <f>J19*$B$8/12</f>
        <v/>
      </c>
      <c r="K20" s="84">
        <f>K19*$B$8/12</f>
        <v/>
      </c>
      <c r="L20" s="84">
        <f>L19*$B$8/12</f>
        <v/>
      </c>
      <c r="M20" s="84">
        <f>M19*$B$8/12</f>
        <v/>
      </c>
      <c r="N20" s="84">
        <f>N19*$B$8/12</f>
        <v/>
      </c>
      <c r="O20" s="84">
        <f>O19*$B$8/12</f>
        <v/>
      </c>
      <c r="P20" s="84">
        <f>P19*$B$8/12</f>
        <v/>
      </c>
      <c r="Q20" s="84">
        <f>Q19*$B$8/12</f>
        <v/>
      </c>
      <c r="R20" s="84">
        <f>R19*$B$8/12</f>
        <v/>
      </c>
      <c r="S20" s="84">
        <f>S19*$B$8/12</f>
        <v/>
      </c>
      <c r="T20" s="84">
        <f>T19*$B$8/12</f>
        <v/>
      </c>
      <c r="U20" s="84">
        <f>U19*$B$8/12</f>
        <v/>
      </c>
      <c r="V20" s="84">
        <f>V19*$B$8/12</f>
        <v/>
      </c>
      <c r="W20" s="84">
        <f>W19*$B$8/12</f>
        <v/>
      </c>
      <c r="X20" s="84">
        <f>X19*$B$8/12</f>
        <v/>
      </c>
      <c r="Y20" s="84">
        <f>Y19*$B$8/12</f>
        <v/>
      </c>
      <c r="Z20" s="84">
        <f>Z19*$B$8/12</f>
        <v/>
      </c>
      <c r="AA20" s="84">
        <f>AA19*$B$8/12</f>
        <v/>
      </c>
      <c r="AB20" s="84">
        <f>AB19*$B$8/12</f>
        <v/>
      </c>
      <c r="AC20" s="84">
        <f>AC19*$B$8/12</f>
        <v/>
      </c>
      <c r="AD20" s="84">
        <f>AD19*$B$8/12</f>
        <v/>
      </c>
      <c r="AE20" s="84">
        <f>AE19*$B$8/12</f>
        <v/>
      </c>
      <c r="AF20" s="84">
        <f>AF19*$B$8/12</f>
        <v/>
      </c>
      <c r="AG20" s="84">
        <f>AG19*$B$8/12</f>
        <v/>
      </c>
      <c r="AH20" s="84">
        <f>AH19*$B$8/12</f>
        <v/>
      </c>
      <c r="AI20" s="84">
        <f>AI19*$B$8/12</f>
        <v/>
      </c>
      <c r="AJ20" s="84">
        <f>AJ19*$B$8/12</f>
        <v/>
      </c>
      <c r="AK20" s="84">
        <f>AK19*$B$8/12</f>
        <v/>
      </c>
    </row>
    <row r="21" ht="15" customHeight="1" s="37">
      <c r="A21" s="38" t="inlineStr">
        <is>
          <t>Salespeople — new accounts</t>
        </is>
      </c>
      <c r="B21" s="83">
        <f>IF(B17=0,0,CEILING(B17/$B$10,1))</f>
        <v/>
      </c>
      <c r="C21" s="83">
        <f>IF(C17=0,0,CEILING(C17/$B$10,1))</f>
        <v/>
      </c>
      <c r="D21" s="83">
        <f>IF(D17=0,0,CEILING(D17/$B$10,1))</f>
        <v/>
      </c>
      <c r="E21" s="83">
        <f>IF(E17=0,0,CEILING(E17/$B$10,1))</f>
        <v/>
      </c>
      <c r="F21" s="83">
        <f>IF(F17=0,0,CEILING(F17/$B$10,1))</f>
        <v/>
      </c>
      <c r="G21" s="83">
        <f>IF(G17=0,0,CEILING(G17/$B$10,1))</f>
        <v/>
      </c>
      <c r="H21" s="83">
        <f>IF(H17=0,0,CEILING(H17/$B$10,1))</f>
        <v/>
      </c>
      <c r="I21" s="83">
        <f>IF(I17=0,0,CEILING(I17/$B$10,1))</f>
        <v/>
      </c>
      <c r="J21" s="83">
        <f>IF(J17=0,0,CEILING(J17/$B$10,1))</f>
        <v/>
      </c>
      <c r="K21" s="83">
        <f>IF(K17=0,0,CEILING(K17/$B$10,1))</f>
        <v/>
      </c>
      <c r="L21" s="83">
        <f>IF(L17=0,0,CEILING(L17/$B$10,1))</f>
        <v/>
      </c>
      <c r="M21" s="83">
        <f>IF(M17=0,0,CEILING(M17/$B$10,1))</f>
        <v/>
      </c>
      <c r="N21" s="83">
        <f>IF(N17=0,0,CEILING(N17/$B$10,1))</f>
        <v/>
      </c>
      <c r="O21" s="83">
        <f>IF(O17=0,0,CEILING(O17/$B$10,1))</f>
        <v/>
      </c>
      <c r="P21" s="83">
        <f>IF(P17=0,0,CEILING(P17/$B$10,1))</f>
        <v/>
      </c>
      <c r="Q21" s="83">
        <f>IF(Q17=0,0,CEILING(Q17/$B$10,1))</f>
        <v/>
      </c>
      <c r="R21" s="83">
        <f>IF(R17=0,0,CEILING(R17/$B$10,1))</f>
        <v/>
      </c>
      <c r="S21" s="83">
        <f>IF(S17=0,0,CEILING(S17/$B$10,1))</f>
        <v/>
      </c>
      <c r="T21" s="83">
        <f>IF(T17=0,0,CEILING(T17/$B$10,1))</f>
        <v/>
      </c>
      <c r="U21" s="83">
        <f>IF(U17=0,0,CEILING(U17/$B$10,1))</f>
        <v/>
      </c>
      <c r="V21" s="83">
        <f>IF(V17=0,0,CEILING(V17/$B$10,1))</f>
        <v/>
      </c>
      <c r="W21" s="83">
        <f>IF(W17=0,0,CEILING(W17/$B$10,1))</f>
        <v/>
      </c>
      <c r="X21" s="83">
        <f>IF(X17=0,0,CEILING(X17/$B$10,1))</f>
        <v/>
      </c>
      <c r="Y21" s="83">
        <f>IF(Y17=0,0,CEILING(Y17/$B$10,1))</f>
        <v/>
      </c>
      <c r="Z21" s="83">
        <f>IF(Z17=0,0,CEILING(Z17/$B$10,1))</f>
        <v/>
      </c>
      <c r="AA21" s="83">
        <f>IF(AA17=0,0,CEILING(AA17/$B$10,1))</f>
        <v/>
      </c>
      <c r="AB21" s="83">
        <f>IF(AB17=0,0,CEILING(AB17/$B$10,1))</f>
        <v/>
      </c>
      <c r="AC21" s="83">
        <f>IF(AC17=0,0,CEILING(AC17/$B$10,1))</f>
        <v/>
      </c>
      <c r="AD21" s="83">
        <f>IF(AD17=0,0,CEILING(AD17/$B$10,1))</f>
        <v/>
      </c>
      <c r="AE21" s="83">
        <f>IF(AE17=0,0,CEILING(AE17/$B$10,1))</f>
        <v/>
      </c>
      <c r="AF21" s="83">
        <f>IF(AF17=0,0,CEILING(AF17/$B$10,1))</f>
        <v/>
      </c>
      <c r="AG21" s="83">
        <f>IF(AG17=0,0,CEILING(AG17/$B$10,1))</f>
        <v/>
      </c>
      <c r="AH21" s="83">
        <f>IF(AH17=0,0,CEILING(AH17/$B$10,1))</f>
        <v/>
      </c>
      <c r="AI21" s="83">
        <f>IF(AI17=0,0,CEILING(AI17/$B$10,1))</f>
        <v/>
      </c>
      <c r="AJ21" s="83">
        <f>IF(AJ17=0,0,CEILING(AJ17/$B$10,1))</f>
        <v/>
      </c>
      <c r="AK21" s="83">
        <f>IF(AK17=0,0,CEILING(AK17/$B$10,1))</f>
        <v/>
      </c>
    </row>
    <row r="22" ht="15" customHeight="1" s="37">
      <c r="A22" s="38" t="inlineStr">
        <is>
          <t>Salespeople — existing customers</t>
        </is>
      </c>
      <c r="B22" s="83" t="n">
        <v>0</v>
      </c>
      <c r="C22" s="83">
        <f>IF(B19=0,0,CEILING(B19/$B$11,1))</f>
        <v/>
      </c>
      <c r="D22" s="83">
        <f>IF(C19=0,0,CEILING(C19/$B$11,1))</f>
        <v/>
      </c>
      <c r="E22" s="83">
        <f>IF(D19=0,0,CEILING(D19/$B$11,1))</f>
        <v/>
      </c>
      <c r="F22" s="83">
        <f>IF(E19=0,0,CEILING(E19/$B$11,1))</f>
        <v/>
      </c>
      <c r="G22" s="83">
        <f>IF(F19=0,0,CEILING(F19/$B$11,1))</f>
        <v/>
      </c>
      <c r="H22" s="83">
        <f>IF(G19=0,0,CEILING(G19/$B$11,1))</f>
        <v/>
      </c>
      <c r="I22" s="83">
        <f>IF(H19=0,0,CEILING(H19/$B$11,1))</f>
        <v/>
      </c>
      <c r="J22" s="83">
        <f>IF(I19=0,0,CEILING(I19/$B$11,1))</f>
        <v/>
      </c>
      <c r="K22" s="83">
        <f>IF(J19=0,0,CEILING(J19/$B$11,1))</f>
        <v/>
      </c>
      <c r="L22" s="83">
        <f>IF(K19=0,0,CEILING(K19/$B$11,1))</f>
        <v/>
      </c>
      <c r="M22" s="83">
        <f>IF(L19=0,0,CEILING(L19/$B$11,1))</f>
        <v/>
      </c>
      <c r="N22" s="83">
        <f>IF(M19=0,0,CEILING(M19/$B$11,1))</f>
        <v/>
      </c>
      <c r="O22" s="83">
        <f>IF(N19=0,0,CEILING(N19/$B$11,1))</f>
        <v/>
      </c>
      <c r="P22" s="83">
        <f>IF(O19=0,0,CEILING(O19/$B$11,1))</f>
        <v/>
      </c>
      <c r="Q22" s="83">
        <f>IF(P19=0,0,CEILING(P19/$B$11,1))</f>
        <v/>
      </c>
      <c r="R22" s="83">
        <f>IF(Q19=0,0,CEILING(Q19/$B$11,1))</f>
        <v/>
      </c>
      <c r="S22" s="83">
        <f>IF(R19=0,0,CEILING(R19/$B$11,1))</f>
        <v/>
      </c>
      <c r="T22" s="83">
        <f>IF(S19=0,0,CEILING(S19/$B$11,1))</f>
        <v/>
      </c>
      <c r="U22" s="83">
        <f>IF(T19=0,0,CEILING(T19/$B$11,1))</f>
        <v/>
      </c>
      <c r="V22" s="83">
        <f>IF(U19=0,0,CEILING(U19/$B$11,1))</f>
        <v/>
      </c>
      <c r="W22" s="83">
        <f>IF(V19=0,0,CEILING(V19/$B$11,1))</f>
        <v/>
      </c>
      <c r="X22" s="83">
        <f>IF(W19=0,0,CEILING(W19/$B$11,1))</f>
        <v/>
      </c>
      <c r="Y22" s="83">
        <f>IF(X19=0,0,CEILING(X19/$B$11,1))</f>
        <v/>
      </c>
      <c r="Z22" s="83">
        <f>IF(Y19=0,0,CEILING(Y19/$B$11,1))</f>
        <v/>
      </c>
      <c r="AA22" s="83">
        <f>IF(Z19=0,0,CEILING(Z19/$B$11,1))</f>
        <v/>
      </c>
      <c r="AB22" s="83">
        <f>IF(AA19=0,0,CEILING(AA19/$B$11,1))</f>
        <v/>
      </c>
      <c r="AC22" s="83">
        <f>IF(AB19=0,0,CEILING(AB19/$B$11,1))</f>
        <v/>
      </c>
      <c r="AD22" s="83">
        <f>IF(AC19=0,0,CEILING(AC19/$B$11,1))</f>
        <v/>
      </c>
      <c r="AE22" s="83">
        <f>IF(AD19=0,0,CEILING(AD19/$B$11,1))</f>
        <v/>
      </c>
      <c r="AF22" s="83">
        <f>IF(AE19=0,0,CEILING(AE19/$B$11,1))</f>
        <v/>
      </c>
      <c r="AG22" s="83">
        <f>IF(AF19=0,0,CEILING(AF19/$B$11,1))</f>
        <v/>
      </c>
      <c r="AH22" s="83">
        <f>IF(AG19=0,0,CEILING(AG19/$B$11,1))</f>
        <v/>
      </c>
      <c r="AI22" s="83">
        <f>IF(AH19=0,0,CEILING(AH19/$B$11,1))</f>
        <v/>
      </c>
      <c r="AJ22" s="83">
        <f>IF(AI19=0,0,CEILING(AI19/$B$11,1))</f>
        <v/>
      </c>
      <c r="AK22" s="83">
        <f>IF(AJ19=0,0,CEILING(AJ19/$B$11,1))</f>
        <v/>
      </c>
    </row>
    <row r="23" ht="15" customHeight="1" s="37">
      <c r="A23" s="38" t="inlineStr">
        <is>
          <t>Engineers</t>
        </is>
      </c>
      <c r="B23" s="82" t="n">
        <v>2</v>
      </c>
      <c r="C23" s="82" t="n">
        <v>2</v>
      </c>
      <c r="D23" s="82" t="n">
        <v>2</v>
      </c>
      <c r="E23" s="82" t="n">
        <v>2</v>
      </c>
      <c r="F23" s="82" t="n">
        <v>2</v>
      </c>
      <c r="G23" s="82" t="n">
        <v>2</v>
      </c>
      <c r="H23" s="82" t="n">
        <v>2</v>
      </c>
      <c r="I23" s="82" t="n">
        <v>2</v>
      </c>
      <c r="J23" s="82" t="n">
        <v>2</v>
      </c>
      <c r="K23" s="82" t="n">
        <v>2</v>
      </c>
      <c r="L23" s="82" t="n">
        <v>2</v>
      </c>
      <c r="M23" s="82" t="n">
        <v>2</v>
      </c>
      <c r="N23" s="82" t="n">
        <v>3</v>
      </c>
      <c r="O23" s="82" t="n">
        <v>3</v>
      </c>
      <c r="P23" s="82" t="n">
        <v>3</v>
      </c>
      <c r="Q23" s="82" t="n">
        <v>3</v>
      </c>
      <c r="R23" s="82" t="n">
        <v>3</v>
      </c>
      <c r="S23" s="82" t="n">
        <v>3</v>
      </c>
      <c r="T23" s="82" t="n">
        <v>3</v>
      </c>
      <c r="U23" s="82" t="n">
        <v>3</v>
      </c>
      <c r="V23" s="82" t="n">
        <v>3</v>
      </c>
      <c r="W23" s="82" t="n">
        <v>3</v>
      </c>
      <c r="X23" s="82" t="n">
        <v>3</v>
      </c>
      <c r="Y23" s="82" t="n">
        <v>3</v>
      </c>
      <c r="Z23" s="82" t="n">
        <v>4</v>
      </c>
      <c r="AA23" s="82" t="n">
        <v>4</v>
      </c>
      <c r="AB23" s="82" t="n">
        <v>4</v>
      </c>
      <c r="AC23" s="82" t="n">
        <v>4</v>
      </c>
      <c r="AD23" s="82" t="n">
        <v>4</v>
      </c>
      <c r="AE23" s="82" t="n">
        <v>4</v>
      </c>
      <c r="AF23" s="82" t="n">
        <v>4</v>
      </c>
      <c r="AG23" s="82" t="n">
        <v>4</v>
      </c>
      <c r="AH23" s="82" t="n">
        <v>4</v>
      </c>
      <c r="AI23" s="82" t="n">
        <v>4</v>
      </c>
      <c r="AJ23" s="82" t="n">
        <v>4</v>
      </c>
      <c r="AK23" s="82" t="n">
        <v>4</v>
      </c>
    </row>
    <row r="24" ht="15" customHeight="1" s="37">
      <c r="A24" s="38" t="inlineStr">
        <is>
          <t>Founders</t>
        </is>
      </c>
      <c r="B24" s="82" t="n">
        <v>2</v>
      </c>
      <c r="C24" s="82" t="n">
        <v>2</v>
      </c>
      <c r="D24" s="82" t="n">
        <v>2</v>
      </c>
      <c r="E24" s="82" t="n">
        <v>2</v>
      </c>
      <c r="F24" s="82" t="n">
        <v>2</v>
      </c>
      <c r="G24" s="82" t="n">
        <v>2</v>
      </c>
      <c r="H24" s="82" t="n">
        <v>2</v>
      </c>
      <c r="I24" s="82" t="n">
        <v>2</v>
      </c>
      <c r="J24" s="82" t="n">
        <v>2</v>
      </c>
      <c r="K24" s="82" t="n">
        <v>2</v>
      </c>
      <c r="L24" s="82" t="n">
        <v>2</v>
      </c>
      <c r="M24" s="82" t="n">
        <v>2</v>
      </c>
      <c r="N24" s="82" t="n">
        <v>2</v>
      </c>
      <c r="O24" s="82" t="n">
        <v>2</v>
      </c>
      <c r="P24" s="82" t="n">
        <v>2</v>
      </c>
      <c r="Q24" s="82" t="n">
        <v>2</v>
      </c>
      <c r="R24" s="82" t="n">
        <v>2</v>
      </c>
      <c r="S24" s="82" t="n">
        <v>2</v>
      </c>
      <c r="T24" s="82" t="n">
        <v>2</v>
      </c>
      <c r="U24" s="82" t="n">
        <v>2</v>
      </c>
      <c r="V24" s="82" t="n">
        <v>2</v>
      </c>
      <c r="W24" s="82" t="n">
        <v>2</v>
      </c>
      <c r="X24" s="82" t="n">
        <v>2</v>
      </c>
      <c r="Y24" s="82" t="n">
        <v>2</v>
      </c>
      <c r="Z24" s="82" t="n">
        <v>2</v>
      </c>
      <c r="AA24" s="82" t="n">
        <v>2</v>
      </c>
      <c r="AB24" s="82" t="n">
        <v>2</v>
      </c>
      <c r="AC24" s="82" t="n">
        <v>2</v>
      </c>
      <c r="AD24" s="82" t="n">
        <v>2</v>
      </c>
      <c r="AE24" s="82" t="n">
        <v>2</v>
      </c>
      <c r="AF24" s="82" t="n">
        <v>2</v>
      </c>
      <c r="AG24" s="82" t="n">
        <v>2</v>
      </c>
      <c r="AH24" s="82" t="n">
        <v>2</v>
      </c>
      <c r="AI24" s="82" t="n">
        <v>2</v>
      </c>
      <c r="AJ24" s="82" t="n">
        <v>2</v>
      </c>
      <c r="AK24" s="82" t="n">
        <v>2</v>
      </c>
    </row>
    <row r="25" ht="15" customHeight="1" s="37">
      <c r="A25" s="38" t="inlineStr">
        <is>
          <t>Customer-success people</t>
        </is>
      </c>
      <c r="B25" s="83" t="n">
        <v>0</v>
      </c>
      <c r="C25" s="83">
        <f>IF(B19=0,0,CEILING(B19/$B$12,1))</f>
        <v/>
      </c>
      <c r="D25" s="83">
        <f>IF(C19=0,0,CEILING(C19/$B$12,1))</f>
        <v/>
      </c>
      <c r="E25" s="83">
        <f>IF(D19=0,0,CEILING(D19/$B$12,1))</f>
        <v/>
      </c>
      <c r="F25" s="83">
        <f>IF(E19=0,0,CEILING(E19/$B$12,1))</f>
        <v/>
      </c>
      <c r="G25" s="83">
        <f>IF(F19=0,0,CEILING(F19/$B$12,1))</f>
        <v/>
      </c>
      <c r="H25" s="83">
        <f>IF(G19=0,0,CEILING(G19/$B$12,1))</f>
        <v/>
      </c>
      <c r="I25" s="83">
        <f>IF(H19=0,0,CEILING(H19/$B$12,1))</f>
        <v/>
      </c>
      <c r="J25" s="83">
        <f>IF(I19=0,0,CEILING(I19/$B$12,1))</f>
        <v/>
      </c>
      <c r="K25" s="83">
        <f>IF(J19=0,0,CEILING(J19/$B$12,1))</f>
        <v/>
      </c>
      <c r="L25" s="83">
        <f>IF(K19=0,0,CEILING(K19/$B$12,1))</f>
        <v/>
      </c>
      <c r="M25" s="83">
        <f>IF(L19=0,0,CEILING(L19/$B$12,1))</f>
        <v/>
      </c>
      <c r="N25" s="83">
        <f>IF(M19=0,0,CEILING(M19/$B$12,1))</f>
        <v/>
      </c>
      <c r="O25" s="83">
        <f>IF(N19=0,0,CEILING(N19/$B$12,1))</f>
        <v/>
      </c>
      <c r="P25" s="83">
        <f>IF(O19=0,0,CEILING(O19/$B$12,1))</f>
        <v/>
      </c>
      <c r="Q25" s="83">
        <f>IF(P19=0,0,CEILING(P19/$B$12,1))</f>
        <v/>
      </c>
      <c r="R25" s="83">
        <f>IF(Q19=0,0,CEILING(Q19/$B$12,1))</f>
        <v/>
      </c>
      <c r="S25" s="83">
        <f>IF(R19=0,0,CEILING(R19/$B$12,1))</f>
        <v/>
      </c>
      <c r="T25" s="83">
        <f>IF(S19=0,0,CEILING(S19/$B$12,1))</f>
        <v/>
      </c>
      <c r="U25" s="83">
        <f>IF(T19=0,0,CEILING(T19/$B$12,1))</f>
        <v/>
      </c>
      <c r="V25" s="83">
        <f>IF(U19=0,0,CEILING(U19/$B$12,1))</f>
        <v/>
      </c>
      <c r="W25" s="83">
        <f>IF(V19=0,0,CEILING(V19/$B$12,1))</f>
        <v/>
      </c>
      <c r="X25" s="83">
        <f>IF(W19=0,0,CEILING(W19/$B$12,1))</f>
        <v/>
      </c>
      <c r="Y25" s="83">
        <f>IF(X19=0,0,CEILING(X19/$B$12,1))</f>
        <v/>
      </c>
      <c r="Z25" s="83">
        <f>IF(Y19=0,0,CEILING(Y19/$B$12,1))</f>
        <v/>
      </c>
      <c r="AA25" s="83">
        <f>IF(Z19=0,0,CEILING(Z19/$B$12,1))</f>
        <v/>
      </c>
      <c r="AB25" s="83">
        <f>IF(AA19=0,0,CEILING(AA19/$B$12,1))</f>
        <v/>
      </c>
      <c r="AC25" s="83">
        <f>IF(AB19=0,0,CEILING(AB19/$B$12,1))</f>
        <v/>
      </c>
      <c r="AD25" s="83">
        <f>IF(AC19=0,0,CEILING(AC19/$B$12,1))</f>
        <v/>
      </c>
      <c r="AE25" s="83">
        <f>IF(AD19=0,0,CEILING(AD19/$B$12,1))</f>
        <v/>
      </c>
      <c r="AF25" s="83">
        <f>IF(AE19=0,0,CEILING(AE19/$B$12,1))</f>
        <v/>
      </c>
      <c r="AG25" s="83">
        <f>IF(AF19=0,0,CEILING(AF19/$B$12,1))</f>
        <v/>
      </c>
      <c r="AH25" s="83">
        <f>IF(AG19=0,0,CEILING(AG19/$B$12,1))</f>
        <v/>
      </c>
      <c r="AI25" s="83">
        <f>IF(AH19=0,0,CEILING(AH19/$B$12,1))</f>
        <v/>
      </c>
      <c r="AJ25" s="83">
        <f>IF(AI19=0,0,CEILING(AI19/$B$12,1))</f>
        <v/>
      </c>
      <c r="AK25" s="83">
        <f>IF(AJ19=0,0,CEILING(AJ19/$B$12,1))</f>
        <v/>
      </c>
    </row>
    <row r="26" ht="15" customHeight="1" s="37">
      <c r="A26" s="38" t="inlineStr">
        <is>
          <t>Admin</t>
        </is>
      </c>
      <c r="B26" s="82" t="n">
        <v>0</v>
      </c>
      <c r="C26" s="82" t="n">
        <v>0</v>
      </c>
      <c r="D26" s="82" t="n">
        <v>0</v>
      </c>
      <c r="E26" s="82" t="n">
        <v>0</v>
      </c>
      <c r="F26" s="82" t="n">
        <v>0</v>
      </c>
      <c r="G26" s="82" t="n">
        <v>0</v>
      </c>
      <c r="H26" s="82" t="n">
        <v>1</v>
      </c>
      <c r="I26" s="82" t="n">
        <v>1</v>
      </c>
      <c r="J26" s="82" t="n">
        <v>1</v>
      </c>
      <c r="K26" s="82" t="n">
        <v>1</v>
      </c>
      <c r="L26" s="82" t="n">
        <v>1</v>
      </c>
      <c r="M26" s="82" t="n">
        <v>1</v>
      </c>
      <c r="N26" s="82" t="n">
        <v>1</v>
      </c>
      <c r="O26" s="82" t="n">
        <v>1</v>
      </c>
      <c r="P26" s="82" t="n">
        <v>1</v>
      </c>
      <c r="Q26" s="82" t="n">
        <v>1</v>
      </c>
      <c r="R26" s="82" t="n">
        <v>1</v>
      </c>
      <c r="S26" s="82" t="n">
        <v>1</v>
      </c>
      <c r="T26" s="82" t="n">
        <v>1</v>
      </c>
      <c r="U26" s="82" t="n">
        <v>1</v>
      </c>
      <c r="V26" s="82" t="n">
        <v>1</v>
      </c>
      <c r="W26" s="82" t="n">
        <v>1</v>
      </c>
      <c r="X26" s="82" t="n">
        <v>1</v>
      </c>
      <c r="Y26" s="82" t="n">
        <v>1</v>
      </c>
      <c r="Z26" s="82" t="n">
        <v>1</v>
      </c>
      <c r="AA26" s="82" t="n">
        <v>1</v>
      </c>
      <c r="AB26" s="82" t="n">
        <v>1</v>
      </c>
      <c r="AC26" s="82" t="n">
        <v>1</v>
      </c>
      <c r="AD26" s="82" t="n">
        <v>1</v>
      </c>
      <c r="AE26" s="82" t="n">
        <v>1</v>
      </c>
      <c r="AF26" s="82" t="n">
        <v>1</v>
      </c>
      <c r="AG26" s="82" t="n">
        <v>1</v>
      </c>
      <c r="AH26" s="82" t="n">
        <v>1</v>
      </c>
      <c r="AI26" s="82" t="n">
        <v>1</v>
      </c>
      <c r="AJ26" s="82" t="n">
        <v>1</v>
      </c>
      <c r="AK26" s="82" t="n">
        <v>1</v>
      </c>
    </row>
    <row r="27" ht="15" customHeight="1" s="37">
      <c r="A27" s="38" t="inlineStr">
        <is>
          <t>Salaries (headcount × cost)</t>
        </is>
      </c>
      <c r="B27" s="84">
        <f>(B21+B22)*$B$3+B23*$B$2+B24*$B$6+B25*$B$4+B26*$B$5</f>
        <v/>
      </c>
      <c r="C27" s="84">
        <f>(C21+C22)*$B$3+C23*$B$2+C24*$B$6+C25*$B$4+C26*$B$5</f>
        <v/>
      </c>
      <c r="D27" s="84">
        <f>(D21+D22)*$B$3+D23*$B$2+D24*$B$6+D25*$B$4+D26*$B$5</f>
        <v/>
      </c>
      <c r="E27" s="84">
        <f>(E21+E22)*$B$3+E23*$B$2+E24*$B$6+E25*$B$4+E26*$B$5</f>
        <v/>
      </c>
      <c r="F27" s="84">
        <f>(F21+F22)*$B$3+F23*$B$2+F24*$B$6+F25*$B$4+F26*$B$5</f>
        <v/>
      </c>
      <c r="G27" s="84">
        <f>(G21+G22)*$B$3+G23*$B$2+G24*$B$6+G25*$B$4+G26*$B$5</f>
        <v/>
      </c>
      <c r="H27" s="84">
        <f>(H21+H22)*$B$3+H23*$B$2+H24*$B$6+H25*$B$4+H26*$B$5</f>
        <v/>
      </c>
      <c r="I27" s="84">
        <f>(I21+I22)*$B$3+I23*$B$2+I24*$B$6+I25*$B$4+I26*$B$5</f>
        <v/>
      </c>
      <c r="J27" s="84">
        <f>(J21+J22)*$B$3+J23*$B$2+J24*$B$6+J25*$B$4+J26*$B$5</f>
        <v/>
      </c>
      <c r="K27" s="84">
        <f>(K21+K22)*$B$3+K23*$B$2+K24*$B$6+K25*$B$4+K26*$B$5</f>
        <v/>
      </c>
      <c r="L27" s="84">
        <f>(L21+L22)*$B$3+L23*$B$2+L24*$B$6+L25*$B$4+L26*$B$5</f>
        <v/>
      </c>
      <c r="M27" s="84">
        <f>(M21+M22)*$B$3+M23*$B$2+M24*$B$6+M25*$B$4+M26*$B$5</f>
        <v/>
      </c>
      <c r="N27" s="84">
        <f>(N21+N22)*$B$3+N23*$B$2+N24*$B$6+N25*$B$4+N26*$B$5</f>
        <v/>
      </c>
      <c r="O27" s="84">
        <f>(O21+O22)*$B$3+O23*$B$2+O24*$B$6+O25*$B$4+O26*$B$5</f>
        <v/>
      </c>
      <c r="P27" s="84">
        <f>(P21+P22)*$B$3+P23*$B$2+P24*$B$6+P25*$B$4+P26*$B$5</f>
        <v/>
      </c>
      <c r="Q27" s="84">
        <f>(Q21+Q22)*$B$3+Q23*$B$2+Q24*$B$6+Q25*$B$4+Q26*$B$5</f>
        <v/>
      </c>
      <c r="R27" s="84">
        <f>(R21+R22)*$B$3+R23*$B$2+R24*$B$6+R25*$B$4+R26*$B$5</f>
        <v/>
      </c>
      <c r="S27" s="84">
        <f>(S21+S22)*$B$3+S23*$B$2+S24*$B$6+S25*$B$4+S26*$B$5</f>
        <v/>
      </c>
      <c r="T27" s="84">
        <f>(T21+T22)*$B$3+T23*$B$2+T24*$B$6+T25*$B$4+T26*$B$5</f>
        <v/>
      </c>
      <c r="U27" s="84">
        <f>(U21+U22)*$B$3+U23*$B$2+U24*$B$6+U25*$B$4+U26*$B$5</f>
        <v/>
      </c>
      <c r="V27" s="84">
        <f>(V21+V22)*$B$3+V23*$B$2+V24*$B$6+V25*$B$4+V26*$B$5</f>
        <v/>
      </c>
      <c r="W27" s="84">
        <f>(W21+W22)*$B$3+W23*$B$2+W24*$B$6+W25*$B$4+W26*$B$5</f>
        <v/>
      </c>
      <c r="X27" s="84">
        <f>(X21+X22)*$B$3+X23*$B$2+X24*$B$6+X25*$B$4+X26*$B$5</f>
        <v/>
      </c>
      <c r="Y27" s="84">
        <f>(Y21+Y22)*$B$3+Y23*$B$2+Y24*$B$6+Y25*$B$4+Y26*$B$5</f>
        <v/>
      </c>
      <c r="Z27" s="84">
        <f>(Z21+Z22)*$B$3+Z23*$B$2+Z24*$B$6+Z25*$B$4+Z26*$B$5</f>
        <v/>
      </c>
      <c r="AA27" s="84">
        <f>(AA21+AA22)*$B$3+AA23*$B$2+AA24*$B$6+AA25*$B$4+AA26*$B$5</f>
        <v/>
      </c>
      <c r="AB27" s="84">
        <f>(AB21+AB22)*$B$3+AB23*$B$2+AB24*$B$6+AB25*$B$4+AB26*$B$5</f>
        <v/>
      </c>
      <c r="AC27" s="84">
        <f>(AC21+AC22)*$B$3+AC23*$B$2+AC24*$B$6+AC25*$B$4+AC26*$B$5</f>
        <v/>
      </c>
      <c r="AD27" s="84">
        <f>(AD21+AD22)*$B$3+AD23*$B$2+AD24*$B$6+AD25*$B$4+AD26*$B$5</f>
        <v/>
      </c>
      <c r="AE27" s="84">
        <f>(AE21+AE22)*$B$3+AE23*$B$2+AE24*$B$6+AE25*$B$4+AE26*$B$5</f>
        <v/>
      </c>
      <c r="AF27" s="84">
        <f>(AF21+AF22)*$B$3+AF23*$B$2+AF24*$B$6+AF25*$B$4+AF26*$B$5</f>
        <v/>
      </c>
      <c r="AG27" s="84">
        <f>(AG21+AG22)*$B$3+AG23*$B$2+AG24*$B$6+AG25*$B$4+AG26*$B$5</f>
        <v/>
      </c>
      <c r="AH27" s="84">
        <f>(AH21+AH22)*$B$3+AH23*$B$2+AH24*$B$6+AH25*$B$4+AH26*$B$5</f>
        <v/>
      </c>
      <c r="AI27" s="84">
        <f>(AI21+AI22)*$B$3+AI23*$B$2+AI24*$B$6+AI25*$B$4+AI26*$B$5</f>
        <v/>
      </c>
      <c r="AJ27" s="84">
        <f>(AJ21+AJ22)*$B$3+AJ23*$B$2+AJ24*$B$6+AJ25*$B$4+AJ26*$B$5</f>
        <v/>
      </c>
      <c r="AK27" s="84">
        <f>(AK21+AK22)*$B$3+AK23*$B$2+AK24*$B$6+AK25*$B$4+AK26*$B$5</f>
        <v/>
      </c>
    </row>
    <row r="28" ht="15" customHeight="1" s="37">
      <c r="A28" s="38" t="inlineStr">
        <is>
          <t>Expenses (= salaries / salary %)</t>
        </is>
      </c>
      <c r="B28" s="84">
        <f>B27/$B$7</f>
        <v/>
      </c>
      <c r="C28" s="84">
        <f>C27/$B$7</f>
        <v/>
      </c>
      <c r="D28" s="84">
        <f>D27/$B$7</f>
        <v/>
      </c>
      <c r="E28" s="84">
        <f>E27/$B$7</f>
        <v/>
      </c>
      <c r="F28" s="84">
        <f>F27/$B$7</f>
        <v/>
      </c>
      <c r="G28" s="84">
        <f>G27/$B$7</f>
        <v/>
      </c>
      <c r="H28" s="84">
        <f>H27/$B$7</f>
        <v/>
      </c>
      <c r="I28" s="84">
        <f>I27/$B$7</f>
        <v/>
      </c>
      <c r="J28" s="84">
        <f>J27/$B$7</f>
        <v/>
      </c>
      <c r="K28" s="84">
        <f>K27/$B$7</f>
        <v/>
      </c>
      <c r="L28" s="84">
        <f>L27/$B$7</f>
        <v/>
      </c>
      <c r="M28" s="84">
        <f>M27/$B$7</f>
        <v/>
      </c>
      <c r="N28" s="84">
        <f>N27/$B$7</f>
        <v/>
      </c>
      <c r="O28" s="84">
        <f>O27/$B$7</f>
        <v/>
      </c>
      <c r="P28" s="84">
        <f>P27/$B$7</f>
        <v/>
      </c>
      <c r="Q28" s="84">
        <f>Q27/$B$7</f>
        <v/>
      </c>
      <c r="R28" s="84">
        <f>R27/$B$7</f>
        <v/>
      </c>
      <c r="S28" s="84">
        <f>S27/$B$7</f>
        <v/>
      </c>
      <c r="T28" s="84">
        <f>T27/$B$7</f>
        <v/>
      </c>
      <c r="U28" s="84">
        <f>U27/$B$7</f>
        <v/>
      </c>
      <c r="V28" s="84">
        <f>V27/$B$7</f>
        <v/>
      </c>
      <c r="W28" s="84">
        <f>W27/$B$7</f>
        <v/>
      </c>
      <c r="X28" s="84">
        <f>X27/$B$7</f>
        <v/>
      </c>
      <c r="Y28" s="84">
        <f>Y27/$B$7</f>
        <v/>
      </c>
      <c r="Z28" s="84">
        <f>Z27/$B$7</f>
        <v/>
      </c>
      <c r="AA28" s="84">
        <f>AA27/$B$7</f>
        <v/>
      </c>
      <c r="AB28" s="84">
        <f>AB27/$B$7</f>
        <v/>
      </c>
      <c r="AC28" s="84">
        <f>AC27/$B$7</f>
        <v/>
      </c>
      <c r="AD28" s="84">
        <f>AD27/$B$7</f>
        <v/>
      </c>
      <c r="AE28" s="84">
        <f>AE27/$B$7</f>
        <v/>
      </c>
      <c r="AF28" s="84">
        <f>AF27/$B$7</f>
        <v/>
      </c>
      <c r="AG28" s="84">
        <f>AG27/$B$7</f>
        <v/>
      </c>
      <c r="AH28" s="84">
        <f>AH27/$B$7</f>
        <v/>
      </c>
      <c r="AI28" s="84">
        <f>AI27/$B$7</f>
        <v/>
      </c>
      <c r="AJ28" s="84">
        <f>AJ27/$B$7</f>
        <v/>
      </c>
      <c r="AK28" s="84">
        <f>AK27/$B$7</f>
        <v/>
      </c>
    </row>
    <row r="29" ht="15" customHeight="1" s="37">
      <c r="A29" s="38" t="inlineStr">
        <is>
          <t>Profit and (Loss)</t>
        </is>
      </c>
      <c r="B29" s="85">
        <f>B20-B28</f>
        <v/>
      </c>
      <c r="C29" s="85">
        <f>C20-C28</f>
        <v/>
      </c>
      <c r="D29" s="85">
        <f>D20-D28</f>
        <v/>
      </c>
      <c r="E29" s="85">
        <f>E20-E28</f>
        <v/>
      </c>
      <c r="F29" s="85">
        <f>F20-F28</f>
        <v/>
      </c>
      <c r="G29" s="85">
        <f>G20-G28</f>
        <v/>
      </c>
      <c r="H29" s="85">
        <f>H20-H28</f>
        <v/>
      </c>
      <c r="I29" s="85">
        <f>I20-I28</f>
        <v/>
      </c>
      <c r="J29" s="85">
        <f>J20-J28</f>
        <v/>
      </c>
      <c r="K29" s="85">
        <f>K20-K28</f>
        <v/>
      </c>
      <c r="L29" s="85">
        <f>L20-L28</f>
        <v/>
      </c>
      <c r="M29" s="85">
        <f>M20-M28</f>
        <v/>
      </c>
      <c r="N29" s="85">
        <f>N20-N28</f>
        <v/>
      </c>
      <c r="O29" s="85">
        <f>O20-O28</f>
        <v/>
      </c>
      <c r="P29" s="85">
        <f>P20-P28</f>
        <v/>
      </c>
      <c r="Q29" s="85">
        <f>Q20-Q28</f>
        <v/>
      </c>
      <c r="R29" s="85">
        <f>R20-R28</f>
        <v/>
      </c>
      <c r="S29" s="85">
        <f>S20-S28</f>
        <v/>
      </c>
      <c r="T29" s="85">
        <f>T20-T28</f>
        <v/>
      </c>
      <c r="U29" s="85">
        <f>U20-U28</f>
        <v/>
      </c>
      <c r="V29" s="85">
        <f>V20-V28</f>
        <v/>
      </c>
      <c r="W29" s="85">
        <f>W20-W28</f>
        <v/>
      </c>
      <c r="X29" s="85">
        <f>X20-X28</f>
        <v/>
      </c>
      <c r="Y29" s="85">
        <f>Y20-Y28</f>
        <v/>
      </c>
      <c r="Z29" s="85">
        <f>Z20-Z28</f>
        <v/>
      </c>
      <c r="AA29" s="85">
        <f>AA20-AA28</f>
        <v/>
      </c>
      <c r="AB29" s="85">
        <f>AB20-AB28</f>
        <v/>
      </c>
      <c r="AC29" s="85">
        <f>AC20-AC28</f>
        <v/>
      </c>
      <c r="AD29" s="85">
        <f>AD20-AD28</f>
        <v/>
      </c>
      <c r="AE29" s="85">
        <f>AE20-AE28</f>
        <v/>
      </c>
      <c r="AF29" s="85">
        <f>AF20-AF28</f>
        <v/>
      </c>
      <c r="AG29" s="85">
        <f>AG20-AG28</f>
        <v/>
      </c>
      <c r="AH29" s="85">
        <f>AH20-AH28</f>
        <v/>
      </c>
      <c r="AI29" s="85">
        <f>AI20-AI28</f>
        <v/>
      </c>
      <c r="AJ29" s="85">
        <f>AJ20-AJ28</f>
        <v/>
      </c>
      <c r="AK29" s="85">
        <f>AK20-AK28</f>
        <v/>
      </c>
    </row>
    <row r="30" ht="15" customHeight="1" s="37">
      <c r="A30" s="38" t="inlineStr">
        <is>
          <t>Aggregate Profit and (Loss) − Investment</t>
        </is>
      </c>
      <c r="B30" s="85">
        <f>B29-$B$13</f>
        <v/>
      </c>
      <c r="C30" s="85">
        <f>B30+C29</f>
        <v/>
      </c>
      <c r="D30" s="85">
        <f>C30+D29</f>
        <v/>
      </c>
      <c r="E30" s="85">
        <f>D30+E29</f>
        <v/>
      </c>
      <c r="F30" s="85">
        <f>E30+F29</f>
        <v/>
      </c>
      <c r="G30" s="85">
        <f>F30+G29</f>
        <v/>
      </c>
      <c r="H30" s="85">
        <f>G30+H29</f>
        <v/>
      </c>
      <c r="I30" s="85">
        <f>H30+I29</f>
        <v/>
      </c>
      <c r="J30" s="85">
        <f>I30+J29</f>
        <v/>
      </c>
      <c r="K30" s="85">
        <f>J30+K29</f>
        <v/>
      </c>
      <c r="L30" s="85">
        <f>K30+L29</f>
        <v/>
      </c>
      <c r="M30" s="85">
        <f>L30+M29</f>
        <v/>
      </c>
      <c r="N30" s="85">
        <f>M30+N29</f>
        <v/>
      </c>
      <c r="O30" s="85">
        <f>N30+O29</f>
        <v/>
      </c>
      <c r="P30" s="85">
        <f>O30+P29</f>
        <v/>
      </c>
      <c r="Q30" s="85">
        <f>P30+Q29</f>
        <v/>
      </c>
      <c r="R30" s="85">
        <f>Q30+R29</f>
        <v/>
      </c>
      <c r="S30" s="85">
        <f>R30+S29</f>
        <v/>
      </c>
      <c r="T30" s="85">
        <f>S30+T29</f>
        <v/>
      </c>
      <c r="U30" s="85">
        <f>T30+U29</f>
        <v/>
      </c>
      <c r="V30" s="85">
        <f>U30+V29</f>
        <v/>
      </c>
      <c r="W30" s="85">
        <f>V30+W29</f>
        <v/>
      </c>
      <c r="X30" s="85">
        <f>W30+X29</f>
        <v/>
      </c>
      <c r="Y30" s="85">
        <f>X30+Y29</f>
        <v/>
      </c>
      <c r="Z30" s="85">
        <f>Y30+Z29</f>
        <v/>
      </c>
      <c r="AA30" s="85">
        <f>Z30+AA29</f>
        <v/>
      </c>
      <c r="AB30" s="85">
        <f>AA30+AB29</f>
        <v/>
      </c>
      <c r="AC30" s="85">
        <f>AB30+AC29</f>
        <v/>
      </c>
      <c r="AD30" s="85">
        <f>AC30+AD29</f>
        <v/>
      </c>
      <c r="AE30" s="85">
        <f>AD30+AE29</f>
        <v/>
      </c>
      <c r="AF30" s="85">
        <f>AE30+AF29</f>
        <v/>
      </c>
      <c r="AG30" s="85">
        <f>AF30+AG29</f>
        <v/>
      </c>
      <c r="AH30" s="85">
        <f>AG30+AH29</f>
        <v/>
      </c>
      <c r="AI30" s="85">
        <f>AH30+AI29</f>
        <v/>
      </c>
      <c r="AJ30" s="85">
        <f>AI30+AJ29</f>
        <v/>
      </c>
      <c r="AK30" s="85">
        <f>AJ30+AK29</f>
        <v/>
      </c>
    </row>
    <row r="32" ht="15" customHeight="1" s="37">
      <c r="A32" s="76" t="inlineStr">
        <is>
          <t>Yellow = inputs (edit). Green = formulas (don't overwrite).</t>
        </is>
      </c>
    </row>
  </sheetData>
  <mergeCells count="3">
    <mergeCell ref="B15:M15"/>
    <mergeCell ref="N15:Y15"/>
    <mergeCell ref="Z15:AK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he-IL</dc:language>
  <dcterms:created xmlns:dcterms="http://purl.org/dc/terms/" xmlns:xsi="http://www.w3.org/2001/XMLSchema-instance" xsi:type="dcterms:W3CDTF">2026-04-27T13:43:55Z</dcterms:created>
  <dcterms:modified xmlns:dcterms="http://purl.org/dc/terms/" xmlns:xsi="http://www.w3.org/2001/XMLSchema-instance" xsi:type="dcterms:W3CDTF">2026-04-30T15:33:52Z</dcterms:modified>
  <cp:revision>5</cp:revision>
</cp:coreProperties>
</file>